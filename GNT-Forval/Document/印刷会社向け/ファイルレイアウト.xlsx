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0" windowWidth="19440" windowHeight="9720" firstSheet="4" activeTab="7"/>
  </bookViews>
  <sheets>
    <sheet name="0001_顧客マスタ" sheetId="3" r:id="rId1"/>
    <sheet name="0002_請求内訳（横持ち）" sheetId="2" r:id="rId2"/>
    <sheet name="0003_請求内訳（縦持ち）" sheetId="4" r:id="rId3"/>
    <sheet name="0004_通話明細（発信系）" sheetId="5" r:id="rId4"/>
    <sheet name="0006_通話明細（着信系）" sheetId="6" r:id="rId5"/>
    <sheet name="0005_納品明細" sheetId="7" r:id="rId6"/>
    <sheet name="備考コメント等" sheetId="8" r:id="rId7"/>
    <sheet name="バーチャル口座情報" sheetId="9" r:id="rId8"/>
    <sheet name="OEMマスタ" sheetId="1" r:id="rId9"/>
  </sheets>
  <definedNames>
    <definedName name="_xlnm.Print_Titles" localSheetId="0">'0001_顧客マスタ'!$1:$2</definedName>
    <definedName name="_xlnm.Print_Titles" localSheetId="1">'0002_請求内訳（横持ち）'!$1:$2</definedName>
    <definedName name="_xlnm.Print_Titles" localSheetId="2">'0003_請求内訳（縦持ち）'!$1:$2</definedName>
    <definedName name="_xlnm.Print_Titles" localSheetId="3">'0004_通話明細（発信系）'!$1:$2</definedName>
    <definedName name="_xlnm.Print_Titles" localSheetId="5">'0005_納品明細'!$1:$2</definedName>
    <definedName name="_xlnm.Print_Titles" localSheetId="4">'0006_通話明細（着信系）'!$1:$2</definedName>
    <definedName name="_xlnm.Print_Titles" localSheetId="8">OEMマスタ!$1:$2</definedName>
    <definedName name="_xlnm.Print_Titles" localSheetId="7">バーチャル口座情報!$1:$2</definedName>
    <definedName name="_xlnm.Print_Titles" localSheetId="6">備考コメント等!$1:$2</definedName>
  </definedNames>
  <calcPr calcId="145621"/>
</workbook>
</file>

<file path=xl/calcChain.xml><?xml version="1.0" encoding="utf-8"?>
<calcChain xmlns="http://schemas.openxmlformats.org/spreadsheetml/2006/main">
  <c r="E19" i="9" l="1"/>
  <c r="E54" i="8" l="1"/>
  <c r="E41" i="8" l="1"/>
  <c r="E23" i="8"/>
  <c r="E10" i="8"/>
  <c r="E67" i="7"/>
  <c r="E56" i="7"/>
  <c r="E30" i="7"/>
  <c r="E13" i="7"/>
  <c r="E62" i="6"/>
  <c r="E51" i="6"/>
  <c r="E30" i="6"/>
  <c r="E13" i="6"/>
  <c r="E62" i="5"/>
  <c r="E30" i="5"/>
  <c r="E13" i="5"/>
  <c r="E51" i="5"/>
  <c r="E64" i="4"/>
  <c r="E53" i="4"/>
  <c r="E30" i="4"/>
  <c r="E13" i="4"/>
  <c r="E74" i="2"/>
  <c r="E63" i="2"/>
  <c r="E34" i="2"/>
  <c r="E13" i="2"/>
  <c r="E54" i="3"/>
</calcChain>
</file>

<file path=xl/sharedStrings.xml><?xml version="1.0" encoding="utf-8"?>
<sst xmlns="http://schemas.openxmlformats.org/spreadsheetml/2006/main" count="1078" uniqueCount="330">
  <si>
    <t>ＯＥＭマスタ</t>
    <phoneticPr fontId="4"/>
  </si>
  <si>
    <t>ＯＥＭマスタ情報.xls</t>
    <rPh sb="6" eb="8">
      <t>ジョウホウ</t>
    </rPh>
    <phoneticPr fontId="4"/>
  </si>
  <si>
    <t>No</t>
    <phoneticPr fontId="4"/>
  </si>
  <si>
    <t>項目名</t>
    <rPh sb="0" eb="2">
      <t>コウモク</t>
    </rPh>
    <rPh sb="2" eb="3">
      <t>メイ</t>
    </rPh>
    <phoneticPr fontId="4"/>
  </si>
  <si>
    <t>属性</t>
    <rPh sb="0" eb="2">
      <t>ゾクセイ</t>
    </rPh>
    <phoneticPr fontId="4"/>
  </si>
  <si>
    <t>データ例</t>
    <rPh sb="3" eb="4">
      <t>レイ</t>
    </rPh>
    <phoneticPr fontId="4"/>
  </si>
  <si>
    <t>備考</t>
    <rPh sb="0" eb="2">
      <t>ビコウ</t>
    </rPh>
    <phoneticPr fontId="4"/>
  </si>
  <si>
    <t>ｸﾞﾙｰﾌﾟ(OEM)ｺｰﾄﾞ</t>
    <phoneticPr fontId="4"/>
  </si>
  <si>
    <t>X</t>
  </si>
  <si>
    <t>9000</t>
  </si>
  <si>
    <t>お問合窓口（１行目）</t>
  </si>
  <si>
    <t>X</t>
    <phoneticPr fontId="4"/>
  </si>
  <si>
    <t>カスタマーサービス</t>
  </si>
  <si>
    <t>お問合窓口（２行目）</t>
  </si>
  <si>
    <t>受付時間　（１行目）</t>
  </si>
  <si>
    <t>平日　９：００～１８：００</t>
    <rPh sb="0" eb="2">
      <t>ヘイジツ</t>
    </rPh>
    <phoneticPr fontId="11"/>
  </si>
  <si>
    <t>受付時間　（２行目）</t>
  </si>
  <si>
    <t>受付電話１－１行目</t>
  </si>
  <si>
    <t>０３－６８２０－４０８６</t>
  </si>
  <si>
    <t>顧客マスタのＦＴフォン有無フラグにより印字対象か判断</t>
    <rPh sb="0" eb="2">
      <t>コキャク</t>
    </rPh>
    <rPh sb="11" eb="13">
      <t>ウム</t>
    </rPh>
    <phoneticPr fontId="4"/>
  </si>
  <si>
    <t>受付電話１－２行目</t>
  </si>
  <si>
    <t>（ＦＴフォンからの通話無料）</t>
  </si>
  <si>
    <t>受付電話２－１行目</t>
  </si>
  <si>
    <t>０１２０－０８１－４８６</t>
  </si>
  <si>
    <t>受付電話２－２行目</t>
  </si>
  <si>
    <t>（フリーダイヤル）</t>
  </si>
  <si>
    <t>E-mail（ハガキ用）</t>
  </si>
  <si>
    <t>未使用</t>
    <rPh sb="0" eb="3">
      <t>ミシヨウ</t>
    </rPh>
    <phoneticPr fontId="4"/>
  </si>
  <si>
    <t>メッセージ</t>
  </si>
  <si>
    <t>ご利用明細は、お客様サイトでご確認いただけます。</t>
  </si>
  <si>
    <r>
      <t>お客様サイト有無フラグ="Y</t>
    </r>
    <r>
      <rPr>
        <b/>
        <sz val="11"/>
        <rFont val="ＭＳ Ｐゴシック"/>
        <family val="3"/>
        <charset val="128"/>
      </rPr>
      <t>"</t>
    </r>
    <r>
      <rPr>
        <sz val="11"/>
        <rFont val="ＭＳ Ｐゴシック"/>
        <family val="3"/>
        <charset val="128"/>
      </rPr>
      <t>の場合印字</t>
    </r>
    <rPh sb="1" eb="3">
      <t>キャクサマ</t>
    </rPh>
    <rPh sb="6" eb="8">
      <t>ウム</t>
    </rPh>
    <rPh sb="16" eb="18">
      <t>バアイ</t>
    </rPh>
    <rPh sb="18" eb="20">
      <t>インジ</t>
    </rPh>
    <phoneticPr fontId="4"/>
  </si>
  <si>
    <t>お客様サイト</t>
  </si>
  <si>
    <t>https://www.ebill.jp/</t>
  </si>
  <si>
    <t>お客様ログイン</t>
  </si>
  <si>
    <t>未使用（メッセージファイルより取得）</t>
    <rPh sb="0" eb="3">
      <t>ミシヨウ</t>
    </rPh>
    <rPh sb="15" eb="17">
      <t>シュトク</t>
    </rPh>
    <phoneticPr fontId="4"/>
  </si>
  <si>
    <t>地域コード</t>
  </si>
  <si>
    <t>22</t>
  </si>
  <si>
    <t>未使用（2015.12より用紙プレ印刷）</t>
    <rPh sb="0" eb="3">
      <t>ミシヨウ</t>
    </rPh>
    <rPh sb="13" eb="15">
      <t>ヨウシ</t>
    </rPh>
    <rPh sb="17" eb="19">
      <t>インサツ</t>
    </rPh>
    <phoneticPr fontId="4"/>
  </si>
  <si>
    <t>地域名</t>
  </si>
  <si>
    <t>東京</t>
  </si>
  <si>
    <t>口座番号１</t>
  </si>
  <si>
    <t>00150</t>
  </si>
  <si>
    <t>口座番号２</t>
  </si>
  <si>
    <t>6</t>
  </si>
  <si>
    <t>加入者名１－１行目</t>
  </si>
  <si>
    <t>株式会社フォーバルテレコム</t>
  </si>
  <si>
    <t>加入者名１－２行目</t>
  </si>
  <si>
    <t>加入者名２－１行目</t>
  </si>
  <si>
    <t>加入者名２－２行目</t>
  </si>
  <si>
    <t>収納代行会社名</t>
  </si>
  <si>
    <t>代行会社　ＳＭＢＣファイナンスサービス（株）</t>
  </si>
  <si>
    <t>私製承認番号</t>
  </si>
  <si>
    <t>承認番号東第４６６３６号</t>
  </si>
  <si>
    <t>受取人</t>
  </si>
  <si>
    <t>先方銀行支店名称１行目</t>
  </si>
  <si>
    <t>三菱東京ＵＦＪ銀行</t>
  </si>
  <si>
    <t>先方銀行支店名称２行目</t>
  </si>
  <si>
    <t>青山支店</t>
  </si>
  <si>
    <t>預金種目</t>
  </si>
  <si>
    <t>1</t>
  </si>
  <si>
    <t>1:普通，2:当座</t>
  </si>
  <si>
    <t>口座番号</t>
  </si>
  <si>
    <t>1143045</t>
  </si>
  <si>
    <t>※１５日用と２５日用で内容が異なる</t>
    <rPh sb="3" eb="4">
      <t>ヒ</t>
    </rPh>
    <rPh sb="4" eb="5">
      <t>ヨウ</t>
    </rPh>
    <rPh sb="8" eb="9">
      <t>ヒ</t>
    </rPh>
    <rPh sb="9" eb="10">
      <t>ヨウ</t>
    </rPh>
    <rPh sb="11" eb="13">
      <t>ナイヨウ</t>
    </rPh>
    <rPh sb="14" eb="15">
      <t>コト</t>
    </rPh>
    <phoneticPr fontId="4"/>
  </si>
  <si>
    <t>お受取人（カナ）</t>
  </si>
  <si>
    <t>ｶﾌﾞｼｷｶﾞｲｼｬ ﾌｫｰﾊﾞﾙﾃﾚｺﾑ</t>
  </si>
  <si>
    <t>お受取人名前１行目</t>
  </si>
  <si>
    <t>お受取人名前２行目</t>
  </si>
  <si>
    <t>お受取人住所１行目</t>
  </si>
  <si>
    <t>東京都千代田区神田錦町３－２６</t>
  </si>
  <si>
    <t>お受取人住所２行目</t>
  </si>
  <si>
    <t>一ツ橋ＳＩビル２階</t>
  </si>
  <si>
    <t>お受取人住所３行目</t>
  </si>
  <si>
    <t>お受取人電話番号</t>
  </si>
  <si>
    <t>03-3233-1301</t>
  </si>
  <si>
    <t>お客様サイト有無フラグ</t>
    <rPh sb="1" eb="2">
      <t>キャク</t>
    </rPh>
    <rPh sb="2" eb="3">
      <t>サマ</t>
    </rPh>
    <rPh sb="6" eb="8">
      <t>ウム</t>
    </rPh>
    <phoneticPr fontId="4"/>
  </si>
  <si>
    <t>Y</t>
  </si>
  <si>
    <t>"Y"…お客様サイト情報印字，"△"…空白</t>
    <rPh sb="5" eb="7">
      <t>キャクサマ</t>
    </rPh>
    <rPh sb="10" eb="12">
      <t>ジョウホウ</t>
    </rPh>
    <rPh sb="12" eb="14">
      <t>インジ</t>
    </rPh>
    <rPh sb="19" eb="21">
      <t>クウハク</t>
    </rPh>
    <phoneticPr fontId="4"/>
  </si>
  <si>
    <t>印刷除外フラグ</t>
    <rPh sb="0" eb="2">
      <t>インサツ</t>
    </rPh>
    <rPh sb="2" eb="4">
      <t>ジョガイ</t>
    </rPh>
    <phoneticPr fontId="4"/>
  </si>
  <si>
    <t>"Y"…請求書を印刷しない，"△"…印刷する</t>
    <rPh sb="4" eb="7">
      <t>セイキュウショ</t>
    </rPh>
    <rPh sb="8" eb="10">
      <t>インサツ</t>
    </rPh>
    <rPh sb="18" eb="20">
      <t>インサツ</t>
    </rPh>
    <phoneticPr fontId="4"/>
  </si>
  <si>
    <t>顧客マスタ</t>
    <rPh sb="0" eb="2">
      <t>コキャク</t>
    </rPh>
    <phoneticPr fontId="4"/>
  </si>
  <si>
    <t>FAOB010100_yyyymmdd0001.DAT</t>
    <phoneticPr fontId="4"/>
  </si>
  <si>
    <t xml:space="preserve">顧客番号　　　　               </t>
    <phoneticPr fontId="4"/>
  </si>
  <si>
    <t>ユニークＫｅｙ</t>
    <phoneticPr fontId="4"/>
  </si>
  <si>
    <t xml:space="preserve">課金年月                       </t>
    <phoneticPr fontId="4"/>
  </si>
  <si>
    <t xml:space="preserve">用紙タイプ　　　               </t>
    <phoneticPr fontId="4"/>
  </si>
  <si>
    <t>01：封書（口座振替）、02：封書（コンビニ・ゆうちょ）、03：封書（銀行振込）
04：封書（クレジット）、05：封書（口座振替領収あり）
11：はがき（口座振替）、13：はがき（銀行振込）
14：はがき（クレジット）、15：はがき（口座振替領収あり）</t>
    <rPh sb="3" eb="5">
      <t>フウショ</t>
    </rPh>
    <rPh sb="6" eb="8">
      <t>コウザ</t>
    </rPh>
    <rPh sb="8" eb="10">
      <t>フリカエ</t>
    </rPh>
    <rPh sb="15" eb="17">
      <t>フウショ</t>
    </rPh>
    <rPh sb="32" eb="34">
      <t>フウショ</t>
    </rPh>
    <rPh sb="35" eb="37">
      <t>ギンコウ</t>
    </rPh>
    <rPh sb="37" eb="39">
      <t>フリコミ</t>
    </rPh>
    <rPh sb="44" eb="46">
      <t>フウショ</t>
    </rPh>
    <rPh sb="57" eb="59">
      <t>フウショ</t>
    </rPh>
    <rPh sb="60" eb="62">
      <t>コウザ</t>
    </rPh>
    <rPh sb="62" eb="64">
      <t>フリカエ</t>
    </rPh>
    <rPh sb="64" eb="66">
      <t>リョウシュウ</t>
    </rPh>
    <rPh sb="77" eb="79">
      <t>コウザ</t>
    </rPh>
    <rPh sb="79" eb="81">
      <t>フリカエ</t>
    </rPh>
    <rPh sb="90" eb="92">
      <t>ギンコウ</t>
    </rPh>
    <rPh sb="92" eb="94">
      <t>フリコミ</t>
    </rPh>
    <rPh sb="117" eb="119">
      <t>コウザ</t>
    </rPh>
    <rPh sb="119" eb="121">
      <t>フリカエ</t>
    </rPh>
    <rPh sb="121" eb="123">
      <t>リョウシュウ</t>
    </rPh>
    <phoneticPr fontId="4"/>
  </si>
  <si>
    <t xml:space="preserve">同封物　　　                   </t>
    <phoneticPr fontId="4"/>
  </si>
  <si>
    <t>00：同封なし、01：同封Ｂのみ、10：同封Ａのみ、11：同封ＡＢ</t>
    <phoneticPr fontId="4"/>
  </si>
  <si>
    <t xml:space="preserve">ｸﾞﾙｰﾌﾟ(OEM)ｺｰﾄﾞ         </t>
    <phoneticPr fontId="4"/>
  </si>
  <si>
    <t xml:space="preserve">郵便番号　　　　               </t>
    <phoneticPr fontId="4"/>
  </si>
  <si>
    <t xml:space="preserve">住所１　　　　　               </t>
    <phoneticPr fontId="4"/>
  </si>
  <si>
    <t xml:space="preserve">住所２　　　　　               </t>
    <phoneticPr fontId="4"/>
  </si>
  <si>
    <t xml:space="preserve">顧客名　　　　               </t>
    <phoneticPr fontId="4"/>
  </si>
  <si>
    <t xml:space="preserve">顧客担当者名    　                   </t>
    <phoneticPr fontId="4"/>
  </si>
  <si>
    <t xml:space="preserve">顧客電話番号                   </t>
    <phoneticPr fontId="4"/>
  </si>
  <si>
    <t xml:space="preserve">請求書発行NO.　                </t>
    <phoneticPr fontId="4"/>
  </si>
  <si>
    <t xml:space="preserve">請求書発行日                   </t>
    <phoneticPr fontId="4"/>
  </si>
  <si>
    <t xml:space="preserve">入金期日                       </t>
    <phoneticPr fontId="4"/>
  </si>
  <si>
    <t xml:space="preserve">請求金額                       </t>
    <phoneticPr fontId="4"/>
  </si>
  <si>
    <t xml:space="preserve">課税対象額                     </t>
    <phoneticPr fontId="4"/>
  </si>
  <si>
    <t xml:space="preserve">非課税対象額                   </t>
    <phoneticPr fontId="4"/>
  </si>
  <si>
    <t>代行請求額</t>
    <phoneticPr fontId="4"/>
  </si>
  <si>
    <t xml:space="preserve">消費税                         </t>
    <phoneticPr fontId="4"/>
  </si>
  <si>
    <t xml:space="preserve">年月１　　　　　               </t>
    <phoneticPr fontId="4"/>
  </si>
  <si>
    <t xml:space="preserve">請求額１　　　　　             </t>
    <phoneticPr fontId="4"/>
  </si>
  <si>
    <t>年月２</t>
    <phoneticPr fontId="4"/>
  </si>
  <si>
    <t>請求額２</t>
    <phoneticPr fontId="4"/>
  </si>
  <si>
    <t xml:space="preserve">年月３                   </t>
    <phoneticPr fontId="4"/>
  </si>
  <si>
    <t>請求額３</t>
    <phoneticPr fontId="4"/>
  </si>
  <si>
    <t xml:space="preserve">領収書発行NO.　                </t>
    <phoneticPr fontId="4"/>
  </si>
  <si>
    <t>［口座振替（領収あり）］で使用</t>
    <rPh sb="1" eb="3">
      <t>コウザ</t>
    </rPh>
    <rPh sb="3" eb="5">
      <t>フリカエ</t>
    </rPh>
    <rPh sb="6" eb="8">
      <t>リョウシュウ</t>
    </rPh>
    <rPh sb="13" eb="15">
      <t>シヨウ</t>
    </rPh>
    <phoneticPr fontId="4"/>
  </si>
  <si>
    <t xml:space="preserve">入金額                         </t>
    <phoneticPr fontId="4"/>
  </si>
  <si>
    <t xml:space="preserve">入金年月日                     </t>
    <phoneticPr fontId="4"/>
  </si>
  <si>
    <t xml:space="preserve">銀行名                         </t>
    <phoneticPr fontId="4"/>
  </si>
  <si>
    <t xml:space="preserve">支店名                         </t>
    <phoneticPr fontId="4"/>
  </si>
  <si>
    <t xml:space="preserve">口座種別                       </t>
    <phoneticPr fontId="4"/>
  </si>
  <si>
    <t xml:space="preserve">口座ＮＯ．                     </t>
    <phoneticPr fontId="4"/>
  </si>
  <si>
    <t xml:space="preserve">口座名義                       </t>
    <phoneticPr fontId="4"/>
  </si>
  <si>
    <t>入金額１　</t>
    <phoneticPr fontId="4"/>
  </si>
  <si>
    <t>年月２　</t>
    <phoneticPr fontId="4"/>
  </si>
  <si>
    <t>入金額２　</t>
    <phoneticPr fontId="4"/>
  </si>
  <si>
    <t>年月３　　</t>
    <phoneticPr fontId="4"/>
  </si>
  <si>
    <t>入金額３　　</t>
    <phoneticPr fontId="4"/>
  </si>
  <si>
    <t xml:space="preserve">ﾊﾞｰｺｰﾄﾞ１段目                  </t>
    <phoneticPr fontId="4"/>
  </si>
  <si>
    <t xml:space="preserve">ﾊﾞｰｺｰﾄﾞ２段目                  </t>
    <phoneticPr fontId="4"/>
  </si>
  <si>
    <t xml:space="preserve">ﾊﾞｰｺｰﾄﾞ３段目                  </t>
    <phoneticPr fontId="4"/>
  </si>
  <si>
    <t xml:space="preserve">ﾊﾞｰｺｰﾄﾞ４段目                  </t>
    <phoneticPr fontId="4"/>
  </si>
  <si>
    <t xml:space="preserve">ﾊﾞｰｺｰﾄﾞEAN128                 </t>
    <phoneticPr fontId="4"/>
  </si>
  <si>
    <t>［コンビニ・ゆうちょ］で使用</t>
    <rPh sb="12" eb="14">
      <t>シヨウ</t>
    </rPh>
    <phoneticPr fontId="4"/>
  </si>
  <si>
    <t>カードＮｏ．</t>
    <phoneticPr fontId="4"/>
  </si>
  <si>
    <t>［クレジット］で使用</t>
    <rPh sb="8" eb="10">
      <t>シヨウ</t>
    </rPh>
    <phoneticPr fontId="4"/>
  </si>
  <si>
    <t>再発行フラグ</t>
    <phoneticPr fontId="4"/>
  </si>
  <si>
    <t>FTフォン有無フラグ</t>
    <phoneticPr fontId="4"/>
  </si>
  <si>
    <t xml:space="preserve">予備                           </t>
    <phoneticPr fontId="4"/>
  </si>
  <si>
    <t>請求内訳（横持ち）</t>
    <rPh sb="0" eb="2">
      <t>セイキュウ</t>
    </rPh>
    <rPh sb="2" eb="4">
      <t>ウチワケ</t>
    </rPh>
    <rPh sb="5" eb="7">
      <t>ヨコモ</t>
    </rPh>
    <phoneticPr fontId="4"/>
  </si>
  <si>
    <t>FAOB010100_yyyymmdd0002.DAT</t>
    <phoneticPr fontId="4"/>
  </si>
  <si>
    <t>連番</t>
    <rPh sb="0" eb="2">
      <t>レンバン</t>
    </rPh>
    <phoneticPr fontId="4"/>
  </si>
  <si>
    <t>パターン</t>
  </si>
  <si>
    <t>サービス名</t>
    <rPh sb="4" eb="5">
      <t>メイ</t>
    </rPh>
    <phoneticPr fontId="4"/>
  </si>
  <si>
    <t>連番</t>
    <rPh sb="0" eb="2">
      <t>レンバン</t>
    </rPh>
    <phoneticPr fontId="1"/>
  </si>
  <si>
    <t>グループ</t>
  </si>
  <si>
    <t>グループコード　（ＯＥＭ用）</t>
    <rPh sb="12" eb="13">
      <t>ヨウ</t>
    </rPh>
    <phoneticPr fontId="1"/>
  </si>
  <si>
    <t>ワンビリングサービス／請求内訳</t>
    <rPh sb="11" eb="13">
      <t>セイキュウ</t>
    </rPh>
    <rPh sb="13" eb="15">
      <t>ウチワケ</t>
    </rPh>
    <phoneticPr fontId="1"/>
  </si>
  <si>
    <t>予備</t>
    <rPh sb="0" eb="2">
      <t>ヨビ</t>
    </rPh>
    <phoneticPr fontId="1"/>
  </si>
  <si>
    <t>パターン</t>
    <phoneticPr fontId="4"/>
  </si>
  <si>
    <t>グループ</t>
    <phoneticPr fontId="4"/>
  </si>
  <si>
    <t>グループコード　（ＯＥＭ用）</t>
    <rPh sb="12" eb="13">
      <t>ヨウ</t>
    </rPh>
    <phoneticPr fontId="4"/>
  </si>
  <si>
    <t>ワンビリングサービス／請求内訳</t>
    <rPh sb="11" eb="13">
      <t>セイキュウ</t>
    </rPh>
    <rPh sb="13" eb="15">
      <t>ウチワケ</t>
    </rPh>
    <phoneticPr fontId="4"/>
  </si>
  <si>
    <t>予備</t>
    <rPh sb="0" eb="2">
      <t>ヨビ</t>
    </rPh>
    <phoneticPr fontId="4"/>
  </si>
  <si>
    <t>X</t>
    <phoneticPr fontId="4"/>
  </si>
  <si>
    <t>１：ヘッダー１レコード</t>
    <phoneticPr fontId="4"/>
  </si>
  <si>
    <t>金額１</t>
    <rPh sb="0" eb="2">
      <t>キンガク</t>
    </rPh>
    <phoneticPr fontId="1"/>
  </si>
  <si>
    <t>金額１</t>
    <rPh sb="0" eb="2">
      <t>キンガク</t>
    </rPh>
    <phoneticPr fontId="4"/>
  </si>
  <si>
    <t>"キャリア価格"</t>
    <rPh sb="5" eb="7">
      <t>カカク</t>
    </rPh>
    <phoneticPr fontId="4"/>
  </si>
  <si>
    <t>フラグ１</t>
    <phoneticPr fontId="4"/>
  </si>
  <si>
    <t>金額２</t>
    <rPh sb="0" eb="2">
      <t>キンガク</t>
    </rPh>
    <phoneticPr fontId="1"/>
  </si>
  <si>
    <t>金額２</t>
    <rPh sb="0" eb="2">
      <t>キンガク</t>
    </rPh>
    <phoneticPr fontId="4"/>
  </si>
  <si>
    <t>"割引額"</t>
    <rPh sb="1" eb="3">
      <t>ワリビキ</t>
    </rPh>
    <rPh sb="3" eb="4">
      <t>ガク</t>
    </rPh>
    <phoneticPr fontId="4"/>
  </si>
  <si>
    <t>フラグ２</t>
    <phoneticPr fontId="4"/>
  </si>
  <si>
    <t>金額３</t>
    <rPh sb="0" eb="2">
      <t>キンガク</t>
    </rPh>
    <phoneticPr fontId="1"/>
  </si>
  <si>
    <t>金額３</t>
    <rPh sb="0" eb="2">
      <t>キンガク</t>
    </rPh>
    <phoneticPr fontId="4"/>
  </si>
  <si>
    <t>"小計"</t>
    <rPh sb="1" eb="3">
      <t>ショウケイ</t>
    </rPh>
    <phoneticPr fontId="4"/>
  </si>
  <si>
    <t>フラグ３</t>
    <phoneticPr fontId="4"/>
  </si>
  <si>
    <t>金額４</t>
    <rPh sb="0" eb="2">
      <t>キンガク</t>
    </rPh>
    <phoneticPr fontId="4"/>
  </si>
  <si>
    <t>"消費税"</t>
    <rPh sb="1" eb="3">
      <t>ショウヒ</t>
    </rPh>
    <rPh sb="3" eb="4">
      <t>ゼイ</t>
    </rPh>
    <phoneticPr fontId="4"/>
  </si>
  <si>
    <t>フラグ４</t>
    <phoneticPr fontId="4"/>
  </si>
  <si>
    <t>金額５</t>
    <rPh sb="0" eb="2">
      <t>キンガク</t>
    </rPh>
    <phoneticPr fontId="4"/>
  </si>
  <si>
    <t>"御請求額"</t>
    <rPh sb="1" eb="2">
      <t>オン</t>
    </rPh>
    <rPh sb="2" eb="4">
      <t>セイキュウ</t>
    </rPh>
    <rPh sb="4" eb="5">
      <t>ガク</t>
    </rPh>
    <phoneticPr fontId="1"/>
  </si>
  <si>
    <t>"御請求額"</t>
    <rPh sb="1" eb="2">
      <t>オン</t>
    </rPh>
    <rPh sb="2" eb="4">
      <t>セイキュウ</t>
    </rPh>
    <rPh sb="4" eb="5">
      <t>ガク</t>
    </rPh>
    <phoneticPr fontId="4"/>
  </si>
  <si>
    <t>フラグ５</t>
    <phoneticPr fontId="4"/>
  </si>
  <si>
    <t>区分</t>
    <rPh sb="0" eb="2">
      <t>クブン</t>
    </rPh>
    <phoneticPr fontId="1"/>
  </si>
  <si>
    <t>区分</t>
    <rPh sb="0" eb="2">
      <t>クブン</t>
    </rPh>
    <phoneticPr fontId="4"/>
  </si>
  <si>
    <t>"税区"</t>
    <rPh sb="1" eb="2">
      <t>ゼイ</t>
    </rPh>
    <rPh sb="2" eb="3">
      <t>ク</t>
    </rPh>
    <phoneticPr fontId="1"/>
  </si>
  <si>
    <t>"税区"</t>
    <rPh sb="1" eb="2">
      <t>ゼイ</t>
    </rPh>
    <rPh sb="2" eb="3">
      <t>ク</t>
    </rPh>
    <phoneticPr fontId="4"/>
  </si>
  <si>
    <t>項目名</t>
    <rPh sb="0" eb="2">
      <t>コウモク</t>
    </rPh>
    <rPh sb="2" eb="3">
      <t>メイ</t>
    </rPh>
    <phoneticPr fontId="1"/>
  </si>
  <si>
    <t>"料金項目名"</t>
    <rPh sb="1" eb="3">
      <t>リョウキン</t>
    </rPh>
    <rPh sb="3" eb="5">
      <t>コウモク</t>
    </rPh>
    <rPh sb="5" eb="6">
      <t>メイ</t>
    </rPh>
    <phoneticPr fontId="1"/>
  </si>
  <si>
    <t>"料金項目名"</t>
    <rPh sb="1" eb="3">
      <t>リョウキン</t>
    </rPh>
    <rPh sb="3" eb="5">
      <t>コウモク</t>
    </rPh>
    <rPh sb="5" eb="6">
      <t>メイ</t>
    </rPh>
    <phoneticPr fontId="4"/>
  </si>
  <si>
    <t>２：ヘッダー２レコード</t>
    <phoneticPr fontId="4"/>
  </si>
  <si>
    <t>データ区分</t>
    <rPh sb="3" eb="5">
      <t>クブン</t>
    </rPh>
    <phoneticPr fontId="4"/>
  </si>
  <si>
    <t>1=明細，6=小計1，7=小計2，8=小計3，9=総合計</t>
    <rPh sb="2" eb="4">
      <t>メイサイ</t>
    </rPh>
    <rPh sb="7" eb="9">
      <t>ショウケイ</t>
    </rPh>
    <rPh sb="13" eb="15">
      <t>ショウケイ</t>
    </rPh>
    <rPh sb="19" eb="21">
      <t>ショウケイ</t>
    </rPh>
    <rPh sb="25" eb="26">
      <t>ソウ</t>
    </rPh>
    <rPh sb="26" eb="28">
      <t>ゴウケイ</t>
    </rPh>
    <phoneticPr fontId="4"/>
  </si>
  <si>
    <t>電話番号</t>
    <rPh sb="0" eb="2">
      <t>デンワ</t>
    </rPh>
    <rPh sb="2" eb="4">
      <t>バンゴウ</t>
    </rPh>
    <phoneticPr fontId="4"/>
  </si>
  <si>
    <t>03-XXXX-XXXX</t>
    <phoneticPr fontId="4"/>
  </si>
  <si>
    <t>自由使用欄</t>
    <rPh sb="0" eb="2">
      <t>ジユウ</t>
    </rPh>
    <rPh sb="2" eb="4">
      <t>シヨウ</t>
    </rPh>
    <rPh sb="4" eb="5">
      <t>ラン</t>
    </rPh>
    <phoneticPr fontId="4"/>
  </si>
  <si>
    <t>（利用期間：05/01～05/31）</t>
    <rPh sb="1" eb="3">
      <t>リヨウ</t>
    </rPh>
    <rPh sb="3" eb="5">
      <t>キカン</t>
    </rPh>
    <phoneticPr fontId="4"/>
  </si>
  <si>
    <t>金額１サイン</t>
    <rPh sb="0" eb="2">
      <t>キンガク</t>
    </rPh>
    <phoneticPr fontId="4"/>
  </si>
  <si>
    <t>"0" = プラスの数値，"-" = マイナスの数値</t>
    <rPh sb="10" eb="12">
      <t>スウチ</t>
    </rPh>
    <rPh sb="24" eb="26">
      <t>スウチ</t>
    </rPh>
    <phoneticPr fontId="4"/>
  </si>
  <si>
    <t>ZZZ,ZZZ,ZZ9</t>
    <phoneticPr fontId="4"/>
  </si>
  <si>
    <t>金額２サイン</t>
    <rPh sb="0" eb="2">
      <t>キンガク</t>
    </rPh>
    <phoneticPr fontId="4"/>
  </si>
  <si>
    <t>金額３サイン</t>
    <rPh sb="0" eb="2">
      <t>キンガク</t>
    </rPh>
    <phoneticPr fontId="4"/>
  </si>
  <si>
    <t>金額４サイン</t>
    <rPh sb="0" eb="2">
      <t>キンガク</t>
    </rPh>
    <phoneticPr fontId="4"/>
  </si>
  <si>
    <t>金額５サイン</t>
    <rPh sb="0" eb="2">
      <t>キンガク</t>
    </rPh>
    <phoneticPr fontId="4"/>
  </si>
  <si>
    <t>X</t>
    <phoneticPr fontId="4"/>
  </si>
  <si>
    <t>税区分をセット　（Y，N，M，D）</t>
    <rPh sb="0" eb="3">
      <t>ゼイクブン</t>
    </rPh>
    <phoneticPr fontId="4"/>
  </si>
  <si>
    <t>５：明細レコード</t>
    <rPh sb="2" eb="4">
      <t>メイサイ</t>
    </rPh>
    <phoneticPr fontId="4"/>
  </si>
  <si>
    <t>コメント１</t>
    <phoneticPr fontId="4"/>
  </si>
  <si>
    <t>※税区　（Ｙ＝課税，Ｎ＝非課税，Ｍ＝免税，Ｄ＝代行請求）</t>
    <rPh sb="1" eb="2">
      <t>ゼイ</t>
    </rPh>
    <rPh sb="2" eb="3">
      <t>ク</t>
    </rPh>
    <rPh sb="7" eb="9">
      <t>カゼイ</t>
    </rPh>
    <rPh sb="12" eb="15">
      <t>ヒカゼイ</t>
    </rPh>
    <rPh sb="18" eb="20">
      <t>メンゼイ</t>
    </rPh>
    <rPh sb="23" eb="25">
      <t>ダイコウ</t>
    </rPh>
    <rPh sb="25" eb="27">
      <t>セイキュウ</t>
    </rPh>
    <phoneticPr fontId="4"/>
  </si>
  <si>
    <t>コメント２</t>
    <phoneticPr fontId="4"/>
  </si>
  <si>
    <t>９：フッターレコード</t>
    <phoneticPr fontId="4"/>
  </si>
  <si>
    <t>請求内訳（縦持ち）</t>
    <rPh sb="0" eb="2">
      <t>セイキュウ</t>
    </rPh>
    <rPh sb="2" eb="4">
      <t>ウチワケ</t>
    </rPh>
    <rPh sb="5" eb="6">
      <t>タテ</t>
    </rPh>
    <rPh sb="6" eb="7">
      <t>モ</t>
    </rPh>
    <phoneticPr fontId="4"/>
  </si>
  <si>
    <t>FAOB010100_yyyymmdd0003.DAT</t>
    <phoneticPr fontId="4"/>
  </si>
  <si>
    <t>"金額"</t>
    <rPh sb="1" eb="3">
      <t>キンガク</t>
    </rPh>
    <phoneticPr fontId="1"/>
  </si>
  <si>
    <t>フラグ１</t>
  </si>
  <si>
    <t>"消費税"</t>
    <rPh sb="1" eb="4">
      <t>ショウヒゼイ</t>
    </rPh>
    <phoneticPr fontId="1"/>
  </si>
  <si>
    <t>フラグ２</t>
  </si>
  <si>
    <t>フラグ３</t>
  </si>
  <si>
    <t>２：ヘッダー２レコード</t>
    <phoneticPr fontId="1"/>
  </si>
  <si>
    <t>X</t>
    <phoneticPr fontId="4"/>
  </si>
  <si>
    <t>ZZZ,ZZZ,ZZ9</t>
    <phoneticPr fontId="4"/>
  </si>
  <si>
    <t>フラグ１</t>
    <phoneticPr fontId="4"/>
  </si>
  <si>
    <t>X</t>
    <phoneticPr fontId="4"/>
  </si>
  <si>
    <t>X</t>
    <phoneticPr fontId="4"/>
  </si>
  <si>
    <t>ZZZ,ZZZ,ZZ9</t>
    <phoneticPr fontId="4"/>
  </si>
  <si>
    <t>フラグ２</t>
    <phoneticPr fontId="4"/>
  </si>
  <si>
    <t>X</t>
    <phoneticPr fontId="4"/>
  </si>
  <si>
    <t>X</t>
    <phoneticPr fontId="4"/>
  </si>
  <si>
    <t>フラグ３</t>
    <phoneticPr fontId="4"/>
  </si>
  <si>
    <t>X</t>
    <phoneticPr fontId="4"/>
  </si>
  <si>
    <t>通話明細（発信系）</t>
    <rPh sb="0" eb="2">
      <t>ツウワ</t>
    </rPh>
    <rPh sb="2" eb="4">
      <t>メイサイ</t>
    </rPh>
    <rPh sb="5" eb="7">
      <t>ハッシン</t>
    </rPh>
    <rPh sb="7" eb="8">
      <t>ケイ</t>
    </rPh>
    <phoneticPr fontId="4"/>
  </si>
  <si>
    <t>FAOB010100_yyyymmdd0004.DAT</t>
    <phoneticPr fontId="4"/>
  </si>
  <si>
    <t>ワンビリングサービス／通話明細</t>
    <rPh sb="11" eb="13">
      <t>ツウワ</t>
    </rPh>
    <rPh sb="13" eb="15">
      <t>メイサイ</t>
    </rPh>
    <phoneticPr fontId="4"/>
  </si>
  <si>
    <t>通話開始日</t>
    <rPh sb="0" eb="2">
      <t>ツウワ</t>
    </rPh>
    <rPh sb="2" eb="5">
      <t>カイシビ</t>
    </rPh>
    <phoneticPr fontId="4"/>
  </si>
  <si>
    <t>"通話開始日"</t>
    <phoneticPr fontId="4"/>
  </si>
  <si>
    <t>通話開始時刻</t>
    <rPh sb="0" eb="2">
      <t>ツウワ</t>
    </rPh>
    <rPh sb="2" eb="4">
      <t>カイシ</t>
    </rPh>
    <rPh sb="4" eb="6">
      <t>ジコク</t>
    </rPh>
    <phoneticPr fontId="4"/>
  </si>
  <si>
    <t>"通話開始時刻"</t>
    <rPh sb="1" eb="3">
      <t>ツウワ</t>
    </rPh>
    <rPh sb="3" eb="5">
      <t>カイシ</t>
    </rPh>
    <rPh sb="5" eb="7">
      <t>ジコク</t>
    </rPh>
    <phoneticPr fontId="4"/>
  </si>
  <si>
    <t>通話区分</t>
    <rPh sb="0" eb="2">
      <t>ツウワ</t>
    </rPh>
    <rPh sb="2" eb="4">
      <t>クブン</t>
    </rPh>
    <phoneticPr fontId="4"/>
  </si>
  <si>
    <t>"通話区分"</t>
    <rPh sb="1" eb="3">
      <t>ツウワ</t>
    </rPh>
    <rPh sb="3" eb="5">
      <t>クブン</t>
    </rPh>
    <phoneticPr fontId="4"/>
  </si>
  <si>
    <t>通話時間</t>
    <rPh sb="0" eb="2">
      <t>ツウワ</t>
    </rPh>
    <rPh sb="2" eb="4">
      <t>ジカン</t>
    </rPh>
    <phoneticPr fontId="4"/>
  </si>
  <si>
    <t>"通話時間"</t>
    <rPh sb="1" eb="3">
      <t>ツウワ</t>
    </rPh>
    <rPh sb="3" eb="5">
      <t>ジカン</t>
    </rPh>
    <phoneticPr fontId="4"/>
  </si>
  <si>
    <t>度数</t>
    <rPh sb="0" eb="2">
      <t>ドスウ</t>
    </rPh>
    <phoneticPr fontId="4"/>
  </si>
  <si>
    <t>"度数"</t>
    <rPh sb="1" eb="3">
      <t>ドスウ</t>
    </rPh>
    <phoneticPr fontId="4"/>
  </si>
  <si>
    <t>金額</t>
    <rPh sb="0" eb="2">
      <t>キンガク</t>
    </rPh>
    <phoneticPr fontId="4"/>
  </si>
  <si>
    <t xml:space="preserve">"金額"  </t>
    <rPh sb="1" eb="3">
      <t>キンガク</t>
    </rPh>
    <phoneticPr fontId="4"/>
  </si>
  <si>
    <t>対話地</t>
    <rPh sb="0" eb="2">
      <t>タイワ</t>
    </rPh>
    <rPh sb="2" eb="3">
      <t>チ</t>
    </rPh>
    <phoneticPr fontId="4"/>
  </si>
  <si>
    <t>"対話地"</t>
    <rPh sb="1" eb="3">
      <t>タイワ</t>
    </rPh>
    <rPh sb="3" eb="4">
      <t>チ</t>
    </rPh>
    <phoneticPr fontId="4"/>
  </si>
  <si>
    <t>相手先電話番号</t>
    <rPh sb="0" eb="3">
      <t>アイテサキ</t>
    </rPh>
    <rPh sb="3" eb="5">
      <t>デンワ</t>
    </rPh>
    <rPh sb="5" eb="7">
      <t>バンゴウ</t>
    </rPh>
    <phoneticPr fontId="4"/>
  </si>
  <si>
    <t>"相手先電話番号"</t>
    <rPh sb="1" eb="4">
      <t>アイテサキ</t>
    </rPh>
    <rPh sb="4" eb="6">
      <t>デンワ</t>
    </rPh>
    <rPh sb="6" eb="8">
      <t>バンゴウ</t>
    </rPh>
    <phoneticPr fontId="4"/>
  </si>
  <si>
    <t>YYYY/MM/DD</t>
    <phoneticPr fontId="4"/>
  </si>
  <si>
    <t>HH:MM:SS</t>
    <phoneticPr fontId="4"/>
  </si>
  <si>
    <t>市内，県内市外，県外市外，国際，携帯/ＰＨＳ　等</t>
    <rPh sb="0" eb="2">
      <t>シナイ</t>
    </rPh>
    <rPh sb="3" eb="5">
      <t>ケンナイ</t>
    </rPh>
    <rPh sb="5" eb="7">
      <t>シガイ</t>
    </rPh>
    <rPh sb="8" eb="10">
      <t>ケンガイ</t>
    </rPh>
    <rPh sb="10" eb="12">
      <t>シガイ</t>
    </rPh>
    <rPh sb="13" eb="15">
      <t>コクサイ</t>
    </rPh>
    <rPh sb="16" eb="18">
      <t>ケイタイ</t>
    </rPh>
    <rPh sb="23" eb="24">
      <t>ナド</t>
    </rPh>
    <phoneticPr fontId="4"/>
  </si>
  <si>
    <t>X</t>
    <phoneticPr fontId="4"/>
  </si>
  <si>
    <t>HH:MM:SS</t>
    <phoneticPr fontId="4"/>
  </si>
  <si>
    <t>Z,ZZZ,ZZ9</t>
    <phoneticPr fontId="4"/>
  </si>
  <si>
    <t>金額サイン</t>
    <rPh sb="0" eb="2">
      <t>キンガク</t>
    </rPh>
    <phoneticPr fontId="4"/>
  </si>
  <si>
    <t>X</t>
    <phoneticPr fontId="4"/>
  </si>
  <si>
    <t>Z9(07)V9(02)  ※データは100倍の数値をセット</t>
    <rPh sb="22" eb="23">
      <t>バイ</t>
    </rPh>
    <rPh sb="24" eb="26">
      <t>スウチ</t>
    </rPh>
    <phoneticPr fontId="4"/>
  </si>
  <si>
    <t>東京，名古屋，大阪，FRANCE，BRAZIL　等</t>
    <rPh sb="0" eb="2">
      <t>トウキョウ</t>
    </rPh>
    <rPh sb="3" eb="6">
      <t>ナゴヤ</t>
    </rPh>
    <rPh sb="7" eb="9">
      <t>オオサカ</t>
    </rPh>
    <rPh sb="24" eb="25">
      <t>ナド</t>
    </rPh>
    <phoneticPr fontId="4"/>
  </si>
  <si>
    <t>X</t>
    <phoneticPr fontId="4"/>
  </si>
  <si>
    <t>X</t>
    <phoneticPr fontId="4"/>
  </si>
  <si>
    <t>FAOB010100_yyyymmdd0006.DAT</t>
    <phoneticPr fontId="4"/>
  </si>
  <si>
    <t>ワンビリングサービス／通話明細　（着電）</t>
    <rPh sb="11" eb="13">
      <t>ツウワ</t>
    </rPh>
    <rPh sb="13" eb="15">
      <t>メイサイ</t>
    </rPh>
    <rPh sb="17" eb="18">
      <t>チャク</t>
    </rPh>
    <rPh sb="18" eb="19">
      <t>デン</t>
    </rPh>
    <phoneticPr fontId="4"/>
  </si>
  <si>
    <t>"金額"</t>
    <rPh sb="1" eb="3">
      <t>キンガク</t>
    </rPh>
    <phoneticPr fontId="4"/>
  </si>
  <si>
    <t>発地域</t>
    <rPh sb="0" eb="2">
      <t>ホッチ</t>
    </rPh>
    <rPh sb="2" eb="3">
      <t>イキ</t>
    </rPh>
    <phoneticPr fontId="4"/>
  </si>
  <si>
    <t>"発地域"</t>
    <rPh sb="1" eb="2">
      <t>ハツ</t>
    </rPh>
    <rPh sb="2" eb="4">
      <t>チイキ</t>
    </rPh>
    <phoneticPr fontId="4"/>
  </si>
  <si>
    <t>発地域／発事業者</t>
    <rPh sb="0" eb="2">
      <t>ホッチ</t>
    </rPh>
    <rPh sb="2" eb="3">
      <t>イキ</t>
    </rPh>
    <rPh sb="4" eb="5">
      <t>ハツ</t>
    </rPh>
    <rPh sb="5" eb="8">
      <t>ジギョウシャ</t>
    </rPh>
    <phoneticPr fontId="4"/>
  </si>
  <si>
    <t>"発地域／発事業者"</t>
    <rPh sb="1" eb="2">
      <t>ハツ</t>
    </rPh>
    <rPh sb="2" eb="4">
      <t>チイキ</t>
    </rPh>
    <rPh sb="5" eb="6">
      <t>ハツ</t>
    </rPh>
    <rPh sb="6" eb="9">
      <t>ジギョウシャ</t>
    </rPh>
    <phoneticPr fontId="4"/>
  </si>
  <si>
    <t>0120-XX-XXXX</t>
    <phoneticPr fontId="4"/>
  </si>
  <si>
    <t>YYYY.MM.DD</t>
    <phoneticPr fontId="4"/>
  </si>
  <si>
    <t>Z,ZZZ,ZZ9</t>
    <phoneticPr fontId="4"/>
  </si>
  <si>
    <t>X</t>
    <phoneticPr fontId="4"/>
  </si>
  <si>
    <t>発地域</t>
    <rPh sb="0" eb="1">
      <t>ハツ</t>
    </rPh>
    <rPh sb="1" eb="3">
      <t>チイキ</t>
    </rPh>
    <phoneticPr fontId="4"/>
  </si>
  <si>
    <t>東京，名古屋，大阪，ドコモ，ＤＤＩポケット　等</t>
    <rPh sb="0" eb="2">
      <t>トウキョウ</t>
    </rPh>
    <rPh sb="3" eb="6">
      <t>ナゴヤ</t>
    </rPh>
    <rPh sb="7" eb="9">
      <t>オオサカ</t>
    </rPh>
    <rPh sb="22" eb="23">
      <t>ナド</t>
    </rPh>
    <phoneticPr fontId="4"/>
  </si>
  <si>
    <t>納品明細</t>
    <rPh sb="0" eb="2">
      <t>ノウヒン</t>
    </rPh>
    <rPh sb="2" eb="4">
      <t>メイサイ</t>
    </rPh>
    <phoneticPr fontId="4"/>
  </si>
  <si>
    <t>FAOB010100_yyyymmdd0005.DAT</t>
    <phoneticPr fontId="4"/>
  </si>
  <si>
    <t>ワンビリングサービス／納品明細</t>
    <rPh sb="11" eb="13">
      <t>ノウヒン</t>
    </rPh>
    <rPh sb="13" eb="15">
      <t>メイサイ</t>
    </rPh>
    <phoneticPr fontId="4"/>
  </si>
  <si>
    <t>項目１</t>
    <rPh sb="0" eb="2">
      <t>コウモク</t>
    </rPh>
    <phoneticPr fontId="4"/>
  </si>
  <si>
    <t>"注文日"</t>
    <rPh sb="1" eb="3">
      <t>チュウモン</t>
    </rPh>
    <rPh sb="3" eb="4">
      <t>ヒ</t>
    </rPh>
    <phoneticPr fontId="4"/>
  </si>
  <si>
    <t>項目２</t>
    <rPh sb="0" eb="2">
      <t>コウモク</t>
    </rPh>
    <phoneticPr fontId="4"/>
  </si>
  <si>
    <t>"出荷日"</t>
    <rPh sb="1" eb="4">
      <t>シュッカビ</t>
    </rPh>
    <phoneticPr fontId="4"/>
  </si>
  <si>
    <t>項目３</t>
    <rPh sb="0" eb="2">
      <t>コウモク</t>
    </rPh>
    <phoneticPr fontId="4"/>
  </si>
  <si>
    <t>"カタログ商品コード"</t>
    <rPh sb="5" eb="7">
      <t>ショウヒン</t>
    </rPh>
    <phoneticPr fontId="4"/>
  </si>
  <si>
    <t>項目４</t>
    <rPh sb="0" eb="2">
      <t>コウモク</t>
    </rPh>
    <phoneticPr fontId="4"/>
  </si>
  <si>
    <t>"商品名"</t>
    <rPh sb="1" eb="3">
      <t>ショウヒン</t>
    </rPh>
    <rPh sb="3" eb="4">
      <t>メイ</t>
    </rPh>
    <phoneticPr fontId="4"/>
  </si>
  <si>
    <t>項目５</t>
    <rPh sb="0" eb="2">
      <t>コウモク</t>
    </rPh>
    <phoneticPr fontId="4"/>
  </si>
  <si>
    <t>"納品数"</t>
    <rPh sb="1" eb="3">
      <t>ノウヒン</t>
    </rPh>
    <rPh sb="3" eb="4">
      <t>スウ</t>
    </rPh>
    <phoneticPr fontId="4"/>
  </si>
  <si>
    <t>項目６</t>
    <rPh sb="0" eb="2">
      <t>コウモク</t>
    </rPh>
    <phoneticPr fontId="4"/>
  </si>
  <si>
    <t>"単価"</t>
    <rPh sb="1" eb="3">
      <t>タンカ</t>
    </rPh>
    <phoneticPr fontId="4"/>
  </si>
  <si>
    <t>項目７</t>
    <rPh sb="0" eb="2">
      <t>コウモク</t>
    </rPh>
    <phoneticPr fontId="4"/>
  </si>
  <si>
    <t>"御請求額"</t>
    <rPh sb="1" eb="4">
      <t>ゴセイキュウ</t>
    </rPh>
    <rPh sb="4" eb="5">
      <t>ガク</t>
    </rPh>
    <phoneticPr fontId="4"/>
  </si>
  <si>
    <t>項目８</t>
    <rPh sb="0" eb="2">
      <t>コウモク</t>
    </rPh>
    <phoneticPr fontId="4"/>
  </si>
  <si>
    <t>"備考"</t>
    <rPh sb="1" eb="3">
      <t>ビコウ</t>
    </rPh>
    <phoneticPr fontId="4"/>
  </si>
  <si>
    <t>1=明細，2=注文小計，3=注文消費税，4=注文合計，5=BOXNO小計，6=BOXNO消費税，7=BOXNO合計，8=顧客小計，9=顧客消費税，A=顧客合計</t>
    <rPh sb="2" eb="4">
      <t>メイサイ</t>
    </rPh>
    <rPh sb="7" eb="9">
      <t>チュウモン</t>
    </rPh>
    <rPh sb="9" eb="11">
      <t>ショウケイ</t>
    </rPh>
    <rPh sb="14" eb="16">
      <t>チュウモン</t>
    </rPh>
    <rPh sb="16" eb="19">
      <t>ショウヒゼイ</t>
    </rPh>
    <rPh sb="22" eb="24">
      <t>チュウモン</t>
    </rPh>
    <rPh sb="24" eb="26">
      <t>ゴウケイ</t>
    </rPh>
    <rPh sb="34" eb="36">
      <t>ショウケイ</t>
    </rPh>
    <rPh sb="44" eb="47">
      <t>ショウヒゼイ</t>
    </rPh>
    <rPh sb="55" eb="57">
      <t>ゴウケイ</t>
    </rPh>
    <rPh sb="60" eb="62">
      <t>コキャク</t>
    </rPh>
    <rPh sb="62" eb="64">
      <t>ショウケイ</t>
    </rPh>
    <rPh sb="67" eb="69">
      <t>コキャク</t>
    </rPh>
    <rPh sb="69" eb="72">
      <t>ショウヒゼイ</t>
    </rPh>
    <rPh sb="75" eb="77">
      <t>コキャク</t>
    </rPh>
    <rPh sb="77" eb="79">
      <t>ゴウケイ</t>
    </rPh>
    <phoneticPr fontId="4"/>
  </si>
  <si>
    <t>電話番号（BOXNO）</t>
    <rPh sb="0" eb="2">
      <t>デンワ</t>
    </rPh>
    <rPh sb="2" eb="4">
      <t>バンゴウ</t>
    </rPh>
    <phoneticPr fontId="4"/>
  </si>
  <si>
    <t>自由使用欄１</t>
    <rPh sb="0" eb="2">
      <t>ジユウ</t>
    </rPh>
    <rPh sb="2" eb="4">
      <t>シヨウ</t>
    </rPh>
    <rPh sb="4" eb="5">
      <t>ラン</t>
    </rPh>
    <phoneticPr fontId="4"/>
  </si>
  <si>
    <t>注文番号：</t>
    <rPh sb="0" eb="2">
      <t>チュウモン</t>
    </rPh>
    <rPh sb="2" eb="4">
      <t>バンゴウ</t>
    </rPh>
    <phoneticPr fontId="4"/>
  </si>
  <si>
    <t>自由使用欄２</t>
    <rPh sb="0" eb="2">
      <t>ジユウ</t>
    </rPh>
    <rPh sb="2" eb="4">
      <t>シヨウ</t>
    </rPh>
    <rPh sb="4" eb="5">
      <t>ラン</t>
    </rPh>
    <phoneticPr fontId="4"/>
  </si>
  <si>
    <t>発注日</t>
    <rPh sb="0" eb="2">
      <t>ハッチュウ</t>
    </rPh>
    <rPh sb="2" eb="3">
      <t>ヒ</t>
    </rPh>
    <phoneticPr fontId="4"/>
  </si>
  <si>
    <t>出荷日</t>
    <rPh sb="0" eb="3">
      <t>シュッカビ</t>
    </rPh>
    <phoneticPr fontId="4"/>
  </si>
  <si>
    <t>商品コード</t>
    <rPh sb="0" eb="2">
      <t>ショウヒン</t>
    </rPh>
    <phoneticPr fontId="4"/>
  </si>
  <si>
    <t>商品名１</t>
    <rPh sb="0" eb="3">
      <t>ショウヒンメイ</t>
    </rPh>
    <phoneticPr fontId="4"/>
  </si>
  <si>
    <t>１段目に印字する商品名</t>
    <rPh sb="1" eb="3">
      <t>ダンメ</t>
    </rPh>
    <rPh sb="4" eb="6">
      <t>インジ</t>
    </rPh>
    <rPh sb="8" eb="10">
      <t>ショウヒン</t>
    </rPh>
    <rPh sb="10" eb="11">
      <t>メイ</t>
    </rPh>
    <phoneticPr fontId="4"/>
  </si>
  <si>
    <t>商品名２</t>
    <rPh sb="0" eb="3">
      <t>ショウヒンメイ</t>
    </rPh>
    <phoneticPr fontId="4"/>
  </si>
  <si>
    <t>２段目に印字する商品名</t>
    <rPh sb="1" eb="3">
      <t>ダンメ</t>
    </rPh>
    <rPh sb="4" eb="6">
      <t>インジ</t>
    </rPh>
    <rPh sb="8" eb="11">
      <t>ショウヒンメイ</t>
    </rPh>
    <phoneticPr fontId="4"/>
  </si>
  <si>
    <t>"返品"，"訂正"等　　</t>
    <rPh sb="1" eb="3">
      <t>ヘンピン</t>
    </rPh>
    <rPh sb="6" eb="8">
      <t>テイセイ</t>
    </rPh>
    <rPh sb="9" eb="10">
      <t>ナド</t>
    </rPh>
    <phoneticPr fontId="4"/>
  </si>
  <si>
    <t>※用紙の制限上、印字できるのは先頭～10ﾊﾞｲﾄ</t>
    <rPh sb="1" eb="3">
      <t>ヨウシ</t>
    </rPh>
    <rPh sb="4" eb="6">
      <t>セイゲン</t>
    </rPh>
    <rPh sb="6" eb="7">
      <t>ウエ</t>
    </rPh>
    <rPh sb="8" eb="10">
      <t>インジ</t>
    </rPh>
    <rPh sb="15" eb="17">
      <t>セントウ</t>
    </rPh>
    <phoneticPr fontId="4"/>
  </si>
  <si>
    <t>BOXNO</t>
    <phoneticPr fontId="4"/>
  </si>
  <si>
    <t>12345678901234</t>
    <phoneticPr fontId="4"/>
  </si>
  <si>
    <t>Ｘ</t>
    <phoneticPr fontId="4"/>
  </si>
  <si>
    <t>備考コメント</t>
    <rPh sb="0" eb="2">
      <t>ビコウ</t>
    </rPh>
    <phoneticPr fontId="4"/>
  </si>
  <si>
    <t>FAOB010100_yyyymmdd0007.DAT</t>
    <phoneticPr fontId="4"/>
  </si>
  <si>
    <t>内訳コメント</t>
    <rPh sb="0" eb="2">
      <t>ウチワケ</t>
    </rPh>
    <phoneticPr fontId="4"/>
  </si>
  <si>
    <t>FAOB010100_yyyymmdd0008.DAT</t>
    <phoneticPr fontId="4"/>
  </si>
  <si>
    <t>内訳コメント　※使用していない</t>
    <rPh sb="0" eb="2">
      <t>ウチワケ</t>
    </rPh>
    <rPh sb="8" eb="10">
      <t>シヨウ</t>
    </rPh>
    <phoneticPr fontId="4"/>
  </si>
  <si>
    <t>通話明細（着信系）　※データ：０件</t>
    <rPh sb="0" eb="2">
      <t>ツウワ</t>
    </rPh>
    <rPh sb="2" eb="4">
      <t>メイサイ</t>
    </rPh>
    <rPh sb="5" eb="7">
      <t>チャクシン</t>
    </rPh>
    <rPh sb="7" eb="8">
      <t>ケイ</t>
    </rPh>
    <rPh sb="16" eb="17">
      <t>ケン</t>
    </rPh>
    <phoneticPr fontId="4"/>
  </si>
  <si>
    <t>請求金額内訳（口座振替はがきに使用）</t>
    <rPh sb="0" eb="2">
      <t>セイキュウ</t>
    </rPh>
    <rPh sb="2" eb="4">
      <t>キンガク</t>
    </rPh>
    <rPh sb="4" eb="6">
      <t>ウチワケ</t>
    </rPh>
    <rPh sb="7" eb="9">
      <t>コウザ</t>
    </rPh>
    <rPh sb="9" eb="11">
      <t>フリカエ</t>
    </rPh>
    <rPh sb="15" eb="17">
      <t>シヨウ</t>
    </rPh>
    <phoneticPr fontId="4"/>
  </si>
  <si>
    <t>FAOB010100_yyyymmdd0009.DAT</t>
    <phoneticPr fontId="4"/>
  </si>
  <si>
    <t>サービス種別コード</t>
    <rPh sb="4" eb="6">
      <t>シュベツ</t>
    </rPh>
    <phoneticPr fontId="4"/>
  </si>
  <si>
    <t>請求額（税込）　サイン</t>
    <rPh sb="0" eb="2">
      <t>セイキュウ</t>
    </rPh>
    <rPh sb="2" eb="3">
      <t>ガク</t>
    </rPh>
    <rPh sb="4" eb="6">
      <t>ゼイコ</t>
    </rPh>
    <phoneticPr fontId="4"/>
  </si>
  <si>
    <t>請求額（税込）</t>
    <rPh sb="0" eb="2">
      <t>セイキュウ</t>
    </rPh>
    <rPh sb="2" eb="3">
      <t>ガク</t>
    </rPh>
    <rPh sb="4" eb="6">
      <t>ゼイコ</t>
    </rPh>
    <phoneticPr fontId="4"/>
  </si>
  <si>
    <t>消費税　サイン</t>
    <rPh sb="0" eb="3">
      <t>ショウヒゼイ</t>
    </rPh>
    <phoneticPr fontId="4"/>
  </si>
  <si>
    <t>消費税　</t>
    <rPh sb="0" eb="3">
      <t>ショウヒゼイ</t>
    </rPh>
    <phoneticPr fontId="4"/>
  </si>
  <si>
    <t>バイト数</t>
    <rPh sb="3" eb="4">
      <t>スウ</t>
    </rPh>
    <phoneticPr fontId="4"/>
  </si>
  <si>
    <t>N</t>
    <phoneticPr fontId="4"/>
  </si>
  <si>
    <t>メッセージデータ</t>
    <phoneticPr fontId="4"/>
  </si>
  <si>
    <t>MSG_yyyymmdd.txt</t>
    <phoneticPr fontId="4"/>
  </si>
  <si>
    <t>メッセージ</t>
    <phoneticPr fontId="4"/>
  </si>
  <si>
    <t>値</t>
    <rPh sb="0" eb="1">
      <t>アタイ</t>
    </rPh>
    <phoneticPr fontId="4"/>
  </si>
  <si>
    <t>"パスワード："</t>
    <phoneticPr fontId="4"/>
  </si>
  <si>
    <t>バーチャル口座情報</t>
    <rPh sb="5" eb="7">
      <t>コウザ</t>
    </rPh>
    <rPh sb="7" eb="9">
      <t>ジョウホウ</t>
    </rPh>
    <phoneticPr fontId="4"/>
  </si>
  <si>
    <t>銀行名</t>
    <rPh sb="0" eb="3">
      <t>ギンコウメイ</t>
    </rPh>
    <phoneticPr fontId="4"/>
  </si>
  <si>
    <t>支店名</t>
    <rPh sb="0" eb="2">
      <t>シテン</t>
    </rPh>
    <rPh sb="2" eb="3">
      <t>メイ</t>
    </rPh>
    <phoneticPr fontId="4"/>
  </si>
  <si>
    <t>半角カナ</t>
    <rPh sb="0" eb="2">
      <t>ハンカク</t>
    </rPh>
    <phoneticPr fontId="4"/>
  </si>
  <si>
    <t>N</t>
  </si>
  <si>
    <t>N</t>
    <phoneticPr fontId="4"/>
  </si>
  <si>
    <t>S9</t>
    <phoneticPr fontId="4"/>
  </si>
  <si>
    <t>X</t>
    <phoneticPr fontId="4"/>
  </si>
  <si>
    <t>※属性：Ｎは全角半角混在可</t>
    <rPh sb="1" eb="3">
      <t>ゾクセイ</t>
    </rPh>
    <rPh sb="6" eb="8">
      <t>ゼンカク</t>
    </rPh>
    <rPh sb="8" eb="10">
      <t>ハンカク</t>
    </rPh>
    <rPh sb="10" eb="12">
      <t>コンザイ</t>
    </rPh>
    <rPh sb="12" eb="13">
      <t>カ</t>
    </rPh>
    <phoneticPr fontId="4"/>
  </si>
  <si>
    <t>XXXXXXXXXX　※固定長テキスト又はＣＳＶ</t>
    <rPh sb="12" eb="15">
      <t>コテイチョウ</t>
    </rPh>
    <rPh sb="19" eb="20">
      <t>マタ</t>
    </rPh>
    <phoneticPr fontId="4"/>
  </si>
  <si>
    <t>ファイル名</t>
    <rPh sb="4" eb="5">
      <t>メイ</t>
    </rPh>
    <phoneticPr fontId="4"/>
  </si>
  <si>
    <t>ファイル形式</t>
    <rPh sb="4" eb="6">
      <t>ケイシキ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</si>
</sst>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1" formatCode="_ * #,##0_ ;_ * \-#,##0_ ;_ * &quot;-&quot;_ ;_ @_ "/>
    <numFmt numFmtId="43" formatCode="_ * #,##0.00_ ;_ * \-#,##0.00_ ;_ * &quot;-&quot;??_ ;_ @_ "/>
    <numFmt numFmtId="176" formatCode="&quot;$&quot;#,##0_);\(&quot;$&quot;#,##0\)"/>
    <numFmt numFmtId="177" formatCode="#,##0&quot;｣&quot;_);[Red]\(#,##0&quot;｣&quot;\)"/>
    <numFmt numFmtId="178" formatCode="&quot;$&quot;#,##0;[Red]\-&quot;$&quot;#,##0"/>
    <numFmt numFmtId="179" formatCode="&quot;$&quot;#,##0.00;[Red]\-&quot;$&quot;#,##0.00"/>
    <numFmt numFmtId="180" formatCode="#,##0.0;[Red]\-#,##0.0"/>
    <numFmt numFmtId="181" formatCode="_(&quot;$&quot;* #,##0_);_(&quot;$&quot;* \(#,##0\);_(&quot;$&quot;* &quot;-&quot;_);_(@_)"/>
    <numFmt numFmtId="182" formatCode="_(&quot;$&quot;* #,##0.00_);_(&quot;$&quot;* \(#,##0.00\);_(&quot;$&quot;* &quot;-&quot;??_);_(@_)"/>
    <numFmt numFmtId="183" formatCode="m/d"/>
    <numFmt numFmtId="184" formatCode="#,##0;\(#,##0\)"/>
    <numFmt numFmtId="185" formatCode="#,##0.00000;[Red]\-#,##0.00000"/>
    <numFmt numFmtId="186" formatCode="###0.0000_);[Red]\(###0.0000\)"/>
    <numFmt numFmtId="187" formatCode="#,##0_ ;[Red]&quot;¥&quot;\!\-#,##0&quot;¥&quot;\!\ "/>
    <numFmt numFmtId="188" formatCode="_(* #,##0.00_);_(* \(#,##0.00\);_(* &quot;-&quot;??_);_(@_)"/>
    <numFmt numFmtId="189" formatCode="_(* #,##0_);_(* \(#,##0\);_(* &quot;-&quot;_);_(@_)"/>
    <numFmt numFmtId="190" formatCode="0_);\(0\)"/>
    <numFmt numFmtId="191" formatCode="#,##0_ "/>
    <numFmt numFmtId="192" formatCode="hh:mm\ \T\K"/>
  </numFmts>
  <fonts count="48">
    <font>
      <sz val="11"/>
      <name val="ＭＳ Ｐゴシック"/>
      <family val="3"/>
      <charset val="128"/>
    </font>
    <font>
      <b/>
      <sz val="18"/>
      <color theme="3"/>
      <name val="ＭＳ Ｐゴシック"/>
      <family val="2"/>
      <charset val="128"/>
      <scheme val="major"/>
    </font>
    <font>
      <sz val="11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color indexed="9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0"/>
      <color indexed="9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2"/>
      <name val="Times New Roman"/>
      <family val="1"/>
    </font>
    <font>
      <sz val="11"/>
      <name val="gfÛSVbNM"/>
      <family val="1"/>
    </font>
    <font>
      <sz val="10"/>
      <name val="ＭＳ Ｐ明朝"/>
      <family val="1"/>
      <charset val="128"/>
    </font>
    <font>
      <b/>
      <sz val="10"/>
      <name val="MS Sans Serif"/>
      <family val="2"/>
    </font>
    <font>
      <b/>
      <sz val="10"/>
      <name val="Helv"/>
      <family val="2"/>
    </font>
    <font>
      <sz val="10"/>
      <name val="MS Sans Serif"/>
      <family val="2"/>
    </font>
    <font>
      <sz val="10"/>
      <name val="Arial"/>
      <family val="2"/>
    </font>
    <font>
      <sz val="9"/>
      <name val="Times New Roman"/>
      <family val="1"/>
    </font>
    <font>
      <sz val="11"/>
      <name val="ＭＳ ゴシック"/>
      <family val="3"/>
      <charset val="128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0"/>
      <name val="Geneva"/>
      <family val="2"/>
    </font>
    <font>
      <b/>
      <sz val="11"/>
      <name val="Helv"/>
      <family val="2"/>
    </font>
    <font>
      <sz val="10"/>
      <color indexed="8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sz val="10"/>
      <name val="Univers (W1)"/>
      <family val="2"/>
    </font>
    <font>
      <sz val="8"/>
      <color indexed="10"/>
      <name val="Arial"/>
      <family val="2"/>
    </font>
    <font>
      <b/>
      <sz val="9"/>
      <name val="Times New Roman"/>
      <family val="1"/>
    </font>
    <font>
      <sz val="10"/>
      <name val="ＭＳ 明朝"/>
      <family val="1"/>
      <charset val="128"/>
    </font>
    <font>
      <sz val="11"/>
      <name val="明朝"/>
      <family val="1"/>
      <charset val="128"/>
    </font>
    <font>
      <sz val="12"/>
      <name val="ｹﾙﾅﾁﾃｼ"/>
      <family val="1"/>
      <charset val="128"/>
    </font>
    <font>
      <sz val="10"/>
      <name val="明朝"/>
      <family val="1"/>
      <charset val="128"/>
    </font>
    <font>
      <sz val="8.5"/>
      <name val="ＭＳ Ｐ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2"/>
      <name val="明朝"/>
      <family val="1"/>
      <charset val="128"/>
    </font>
    <font>
      <sz val="14"/>
      <name val="ＭＳ 明朝"/>
      <family val="1"/>
      <charset val="128"/>
    </font>
    <font>
      <sz val="9"/>
      <color indexed="8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hair">
        <color indexed="64"/>
      </bottom>
      <diagonal/>
    </border>
    <border>
      <left style="thin">
        <color indexed="64"/>
      </left>
      <right style="thin">
        <color rgb="FFFF0000"/>
      </right>
      <top style="thick">
        <color rgb="FFFF0000"/>
      </top>
      <bottom style="hair">
        <color indexed="64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n">
        <color indexed="64"/>
      </right>
      <top style="hair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rgb="FFFF0000"/>
      </right>
      <top style="hair">
        <color indexed="64"/>
      </top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thick">
        <color rgb="FFFF0000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77"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>
      <alignment vertical="center"/>
    </xf>
    <xf numFmtId="0" fontId="15" fillId="0" borderId="0"/>
    <xf numFmtId="0" fontId="16" fillId="0" borderId="0">
      <alignment vertical="center" wrapText="1"/>
    </xf>
    <xf numFmtId="176" fontId="17" fillId="0" borderId="9" applyAlignment="0" applyProtection="0"/>
    <xf numFmtId="177" fontId="2" fillId="0" borderId="0" applyFill="0" applyBorder="0" applyAlignment="0"/>
    <xf numFmtId="0" fontId="18" fillId="0" borderId="0"/>
    <xf numFmtId="38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>
      <alignment horizontal="left"/>
    </xf>
    <xf numFmtId="0" fontId="22" fillId="0" borderId="0"/>
    <xf numFmtId="38" fontId="23" fillId="5" borderId="0" applyNumberFormat="0" applyBorder="0" applyAlignment="0" applyProtection="0"/>
    <xf numFmtId="0" fontId="24" fillId="0" borderId="0">
      <alignment horizontal="left"/>
    </xf>
    <xf numFmtId="0" fontId="25" fillId="0" borderId="10" applyNumberFormat="0" applyAlignment="0" applyProtection="0">
      <alignment horizontal="left" vertical="center"/>
    </xf>
    <xf numFmtId="0" fontId="25" fillId="0" borderId="11">
      <alignment horizontal="left" vertical="center"/>
    </xf>
    <xf numFmtId="10" fontId="23" fillId="6" borderId="12" applyNumberFormat="0" applyBorder="0" applyAlignment="0" applyProtection="0"/>
    <xf numFmtId="1" fontId="26" fillId="0" borderId="0" applyProtection="0">
      <protection locked="0"/>
    </xf>
    <xf numFmtId="41" fontId="27" fillId="0" borderId="0" applyFont="0" applyFill="0" applyBorder="0" applyAlignment="0" applyProtection="0"/>
    <xf numFmtId="0" fontId="28" fillId="0" borderId="13"/>
    <xf numFmtId="0" fontId="2" fillId="0" borderId="0"/>
    <xf numFmtId="180" fontId="2" fillId="0" borderId="0"/>
    <xf numFmtId="0" fontId="20" fillId="0" borderId="0"/>
    <xf numFmtId="0" fontId="27" fillId="0" borderId="0"/>
    <xf numFmtId="10" fontId="20" fillId="0" borderId="0" applyFont="0" applyFill="0" applyBorder="0" applyAlignment="0" applyProtection="0"/>
    <xf numFmtId="9" fontId="29" fillId="0" borderId="0" applyFont="0" applyFill="0" applyProtection="0"/>
    <xf numFmtId="4" fontId="21" fillId="0" borderId="0">
      <alignment horizontal="right"/>
    </xf>
    <xf numFmtId="0" fontId="19" fillId="0" borderId="0" applyNumberFormat="0" applyFont="0" applyFill="0" applyBorder="0" applyAlignment="0" applyProtection="0">
      <alignment horizontal="left"/>
    </xf>
    <xf numFmtId="0" fontId="17" fillId="0" borderId="13">
      <alignment horizontal="center"/>
    </xf>
    <xf numFmtId="4" fontId="30" fillId="0" borderId="0">
      <alignment horizontal="right"/>
    </xf>
    <xf numFmtId="0" fontId="31" fillId="0" borderId="0">
      <alignment horizontal="left"/>
    </xf>
    <xf numFmtId="1" fontId="32" fillId="0" borderId="0" applyBorder="0">
      <alignment horizontal="left" vertical="top" wrapText="1"/>
    </xf>
    <xf numFmtId="0" fontId="33" fillId="0" borderId="0"/>
    <xf numFmtId="0" fontId="23" fillId="0" borderId="0" applyNumberFormat="0" applyFill="0" applyBorder="0" applyProtection="0">
      <alignment vertical="top" wrapText="1"/>
    </xf>
    <xf numFmtId="3" fontId="23" fillId="0" borderId="0" applyFill="0" applyBorder="0" applyProtection="0">
      <alignment horizontal="right" vertical="top" wrapText="1"/>
    </xf>
    <xf numFmtId="3" fontId="34" fillId="0" borderId="0" applyFill="0" applyBorder="0" applyProtection="0">
      <alignment horizontal="right" vertical="top" wrapText="1"/>
    </xf>
    <xf numFmtId="0" fontId="28" fillId="0" borderId="0"/>
    <xf numFmtId="0" fontId="35" fillId="0" borderId="0">
      <alignment horizontal="center"/>
    </xf>
    <xf numFmtId="0" fontId="36" fillId="0" borderId="0"/>
    <xf numFmtId="181" fontId="20" fillId="0" borderId="0" applyFont="0" applyFill="0" applyBorder="0" applyAlignment="0" applyProtection="0"/>
    <xf numFmtId="182" fontId="20" fillId="0" borderId="0" applyFont="0" applyFill="0" applyBorder="0" applyAlignment="0" applyProtection="0"/>
    <xf numFmtId="0" fontId="22" fillId="0" borderId="0"/>
    <xf numFmtId="183" fontId="33" fillId="0" borderId="0" applyFont="0" applyFill="0" applyBorder="0" applyAlignment="0" applyProtection="0"/>
    <xf numFmtId="184" fontId="37" fillId="0" borderId="0" applyFont="0" applyFill="0" applyBorder="0" applyAlignment="0" applyProtection="0"/>
    <xf numFmtId="185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0" fontId="38" fillId="0" borderId="0"/>
    <xf numFmtId="187" fontId="11" fillId="0" borderId="0" applyBorder="0">
      <alignment horizontal="right"/>
    </xf>
    <xf numFmtId="0" fontId="36" fillId="0" borderId="0">
      <alignment vertical="center"/>
    </xf>
    <xf numFmtId="188" fontId="27" fillId="0" borderId="0" applyFont="0" applyFill="0" applyBorder="0" applyAlignment="0" applyProtection="0"/>
    <xf numFmtId="189" fontId="27" fillId="0" borderId="0" applyFont="0" applyFill="0" applyBorder="0" applyAlignment="0" applyProtection="0"/>
    <xf numFmtId="180" fontId="39" fillId="0" borderId="14" applyFill="0" applyBorder="0" applyProtection="0"/>
    <xf numFmtId="187" fontId="11" fillId="0" borderId="0" applyFill="0" applyBorder="0"/>
    <xf numFmtId="190" fontId="11" fillId="0" borderId="0" applyBorder="0">
      <alignment horizontal="left"/>
    </xf>
    <xf numFmtId="49" fontId="11" fillId="7" borderId="15">
      <alignment horizontal="center"/>
    </xf>
    <xf numFmtId="191" fontId="11" fillId="7" borderId="15">
      <alignment horizontal="right"/>
    </xf>
    <xf numFmtId="14" fontId="11" fillId="7" borderId="0" applyBorder="0">
      <alignment horizontal="center"/>
    </xf>
    <xf numFmtId="49" fontId="11" fillId="0" borderId="15"/>
    <xf numFmtId="182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0" fontId="40" fillId="0" borderId="0">
      <alignment horizontal="left"/>
    </xf>
    <xf numFmtId="0" fontId="41" fillId="0" borderId="0">
      <alignment horizontal="center" vertical="center"/>
    </xf>
    <xf numFmtId="14" fontId="11" fillId="0" borderId="8" applyBorder="0">
      <alignment horizontal="left"/>
    </xf>
    <xf numFmtId="14" fontId="11" fillId="0" borderId="0" applyFill="0" applyBorder="0"/>
    <xf numFmtId="0" fontId="42" fillId="0" borderId="0"/>
    <xf numFmtId="0" fontId="2" fillId="0" borderId="0"/>
    <xf numFmtId="192" fontId="42" fillId="0" borderId="0"/>
    <xf numFmtId="0" fontId="43" fillId="0" borderId="16" applyFill="0" applyBorder="0" applyProtection="0"/>
    <xf numFmtId="49" fontId="11" fillId="0" borderId="0"/>
    <xf numFmtId="0" fontId="44" fillId="0" borderId="0"/>
    <xf numFmtId="0" fontId="36" fillId="0" borderId="0"/>
    <xf numFmtId="0" fontId="2" fillId="0" borderId="0"/>
  </cellStyleXfs>
  <cellXfs count="143">
    <xf numFmtId="0" fontId="0" fillId="0" borderId="0" xfId="0"/>
    <xf numFmtId="0" fontId="3" fillId="0" borderId="0" xfId="0" applyFont="1" applyFill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Border="1" applyAlignment="1"/>
    <xf numFmtId="0" fontId="7" fillId="0" borderId="0" xfId="0" applyNumberFormat="1" applyFont="1" applyBorder="1" applyAlignment="1"/>
    <xf numFmtId="0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9" fillId="0" borderId="3" xfId="0" applyNumberFormat="1" applyFont="1" applyBorder="1" applyAlignment="1">
      <alignment horizontal="right"/>
    </xf>
    <xf numFmtId="0" fontId="9" fillId="4" borderId="3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left"/>
    </xf>
    <xf numFmtId="0" fontId="9" fillId="4" borderId="3" xfId="0" applyNumberFormat="1" applyFont="1" applyFill="1" applyBorder="1" applyAlignment="1">
      <alignment horizontal="right"/>
    </xf>
    <xf numFmtId="0" fontId="9" fillId="0" borderId="3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9" fillId="0" borderId="3" xfId="0" applyFont="1" applyBorder="1"/>
    <xf numFmtId="0" fontId="10" fillId="0" borderId="3" xfId="0" applyFont="1" applyBorder="1" applyAlignment="1">
      <alignment horizontal="left"/>
    </xf>
    <xf numFmtId="0" fontId="9" fillId="0" borderId="7" xfId="0" applyFont="1" applyBorder="1" applyAlignment="1">
      <alignment horizontal="center"/>
    </xf>
    <xf numFmtId="0" fontId="9" fillId="0" borderId="7" xfId="0" applyFont="1" applyBorder="1" applyAlignment="1">
      <alignment horizontal="left"/>
    </xf>
    <xf numFmtId="0" fontId="9" fillId="0" borderId="7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NumberFormat="1" applyFont="1" applyBorder="1" applyAlignment="1">
      <alignment vertical="center"/>
    </xf>
    <xf numFmtId="0" fontId="0" fillId="0" borderId="0" xfId="0" applyNumberFormat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6" xfId="0" applyNumberFormat="1" applyFont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NumberFormat="1" applyFont="1" applyBorder="1" applyAlignment="1">
      <alignment horizontal="right" vertical="center"/>
    </xf>
    <xf numFmtId="0" fontId="10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3" xfId="0" applyNumberFormat="1" applyFont="1" applyFill="1" applyBorder="1" applyAlignment="1">
      <alignment horizontal="right" vertical="center"/>
    </xf>
    <xf numFmtId="0" fontId="9" fillId="4" borderId="3" xfId="0" applyFont="1" applyFill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45" fillId="0" borderId="3" xfId="0" applyFont="1" applyBorder="1" applyAlignment="1">
      <alignment horizontal="center"/>
    </xf>
    <xf numFmtId="0" fontId="45" fillId="0" borderId="3" xfId="0" applyFont="1" applyBorder="1" applyAlignment="1">
      <alignment horizontal="left"/>
    </xf>
    <xf numFmtId="0" fontId="45" fillId="0" borderId="3" xfId="0" applyFont="1" applyBorder="1"/>
    <xf numFmtId="0" fontId="45" fillId="0" borderId="7" xfId="0" applyFont="1" applyBorder="1" applyAlignment="1">
      <alignment horizontal="center"/>
    </xf>
    <xf numFmtId="0" fontId="45" fillId="0" borderId="7" xfId="0" applyFont="1" applyBorder="1" applyAlignment="1">
      <alignment horizontal="left"/>
    </xf>
    <xf numFmtId="0" fontId="45" fillId="0" borderId="7" xfId="0" applyFont="1" applyBorder="1"/>
    <xf numFmtId="0" fontId="9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9" fillId="0" borderId="0" xfId="0" applyFont="1" applyBorder="1"/>
    <xf numFmtId="0" fontId="9" fillId="0" borderId="3" xfId="0" applyFont="1" applyBorder="1" applyAlignment="1"/>
    <xf numFmtId="0" fontId="45" fillId="0" borderId="3" xfId="0" applyFont="1" applyBorder="1" applyAlignment="1"/>
    <xf numFmtId="0" fontId="45" fillId="8" borderId="3" xfId="0" applyFont="1" applyFill="1" applyBorder="1" applyAlignment="1"/>
    <xf numFmtId="0" fontId="45" fillId="0" borderId="7" xfId="0" applyFont="1" applyBorder="1" applyAlignment="1"/>
    <xf numFmtId="0" fontId="9" fillId="0" borderId="7" xfId="0" applyFont="1" applyBorder="1"/>
    <xf numFmtId="0" fontId="45" fillId="0" borderId="6" xfId="0" applyFont="1" applyBorder="1" applyAlignment="1">
      <alignment horizontal="center"/>
    </xf>
    <xf numFmtId="0" fontId="45" fillId="0" borderId="6" xfId="0" applyFont="1" applyBorder="1" applyAlignment="1">
      <alignment horizontal="left"/>
    </xf>
    <xf numFmtId="0" fontId="45" fillId="0" borderId="6" xfId="0" applyFont="1" applyBorder="1"/>
    <xf numFmtId="0" fontId="45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45" fillId="0" borderId="19" xfId="0" applyFont="1" applyFill="1" applyBorder="1" applyAlignment="1">
      <alignment horizontal="center"/>
    </xf>
    <xf numFmtId="0" fontId="9" fillId="0" borderId="20" xfId="0" applyFont="1" applyFill="1" applyBorder="1" applyAlignment="1">
      <alignment horizontal="left"/>
    </xf>
    <xf numFmtId="0" fontId="45" fillId="0" borderId="20" xfId="0" applyFont="1" applyFill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1" xfId="0" applyFont="1" applyBorder="1" applyAlignment="1">
      <alignment horizontal="left"/>
    </xf>
    <xf numFmtId="0" fontId="9" fillId="0" borderId="21" xfId="0" applyFont="1" applyBorder="1"/>
    <xf numFmtId="0" fontId="9" fillId="0" borderId="9" xfId="0" applyFont="1" applyBorder="1" applyAlignment="1"/>
    <xf numFmtId="0" fontId="9" fillId="0" borderId="4" xfId="0" applyFont="1" applyFill="1" applyBorder="1"/>
    <xf numFmtId="0" fontId="9" fillId="0" borderId="20" xfId="0" applyFont="1" applyFill="1" applyBorder="1"/>
    <xf numFmtId="0" fontId="9" fillId="0" borderId="7" xfId="0" applyFont="1" applyBorder="1" applyAlignment="1"/>
    <xf numFmtId="0" fontId="9" fillId="0" borderId="22" xfId="0" applyFont="1" applyFill="1" applyBorder="1" applyAlignment="1"/>
    <xf numFmtId="0" fontId="9" fillId="0" borderId="20" xfId="0" applyFont="1" applyFill="1" applyBorder="1" applyAlignment="1"/>
    <xf numFmtId="0" fontId="9" fillId="0" borderId="23" xfId="0" applyFont="1" applyBorder="1" applyAlignment="1"/>
    <xf numFmtId="0" fontId="9" fillId="8" borderId="3" xfId="0" applyFont="1" applyFill="1" applyBorder="1" applyAlignment="1"/>
    <xf numFmtId="0" fontId="9" fillId="0" borderId="3" xfId="0" applyFont="1" applyFill="1" applyBorder="1" applyAlignment="1"/>
    <xf numFmtId="0" fontId="46" fillId="0" borderId="3" xfId="0" applyFont="1" applyBorder="1" applyAlignment="1">
      <alignment horizontal="center"/>
    </xf>
    <xf numFmtId="0" fontId="46" fillId="0" borderId="3" xfId="0" applyFont="1" applyBorder="1" applyAlignment="1">
      <alignment horizontal="left"/>
    </xf>
    <xf numFmtId="0" fontId="46" fillId="0" borderId="3" xfId="0" applyFont="1" applyBorder="1"/>
    <xf numFmtId="0" fontId="46" fillId="0" borderId="3" xfId="0" applyFont="1" applyBorder="1" applyAlignment="1"/>
    <xf numFmtId="0" fontId="9" fillId="8" borderId="3" xfId="0" applyFont="1" applyFill="1" applyBorder="1" applyAlignment="1">
      <alignment horizontal="left"/>
    </xf>
    <xf numFmtId="0" fontId="45" fillId="0" borderId="17" xfId="0" applyFont="1" applyBorder="1" applyAlignment="1">
      <alignment horizontal="left"/>
    </xf>
    <xf numFmtId="0" fontId="45" fillId="0" borderId="18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0" fontId="45" fillId="0" borderId="6" xfId="0" applyFont="1" applyBorder="1" applyAlignment="1">
      <alignment horizontal="center" vertical="center" wrapText="1"/>
    </xf>
    <xf numFmtId="0" fontId="45" fillId="0" borderId="17" xfId="0" applyFont="1" applyBorder="1" applyAlignment="1">
      <alignment horizontal="left" vertical="center" wrapText="1"/>
    </xf>
    <xf numFmtId="0" fontId="45" fillId="0" borderId="6" xfId="0" applyFont="1" applyBorder="1" applyAlignment="1">
      <alignment vertical="center" wrapText="1"/>
    </xf>
    <xf numFmtId="0" fontId="45" fillId="0" borderId="4" xfId="0" applyFont="1" applyBorder="1" applyAlignment="1">
      <alignment horizontal="center"/>
    </xf>
    <xf numFmtId="0" fontId="45" fillId="0" borderId="24" xfId="0" applyFont="1" applyBorder="1" applyAlignment="1">
      <alignment horizontal="left"/>
    </xf>
    <xf numFmtId="0" fontId="45" fillId="0" borderId="4" xfId="0" applyFont="1" applyBorder="1"/>
    <xf numFmtId="0" fontId="45" fillId="0" borderId="25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45" fillId="0" borderId="3" xfId="0" applyFont="1" applyBorder="1" applyAlignment="1">
      <alignment vertical="top" wrapText="1"/>
    </xf>
    <xf numFmtId="49" fontId="45" fillId="0" borderId="3" xfId="0" applyNumberFormat="1" applyFont="1" applyBorder="1" applyAlignment="1"/>
    <xf numFmtId="0" fontId="45" fillId="0" borderId="4" xfId="0" applyFont="1" applyBorder="1" applyAlignment="1"/>
    <xf numFmtId="0" fontId="7" fillId="0" borderId="6" xfId="0" applyFont="1" applyBorder="1" applyAlignment="1"/>
    <xf numFmtId="0" fontId="45" fillId="0" borderId="3" xfId="0" applyFont="1" applyFill="1" applyBorder="1" applyAlignment="1"/>
    <xf numFmtId="0" fontId="9" fillId="0" borderId="0" xfId="0" applyFont="1"/>
    <xf numFmtId="0" fontId="8" fillId="3" borderId="2" xfId="0" applyFont="1" applyFill="1" applyBorder="1" applyAlignment="1">
      <alignment horizontal="center" vertical="center" shrinkToFit="1"/>
    </xf>
    <xf numFmtId="0" fontId="47" fillId="0" borderId="0" xfId="0" applyFont="1" applyAlignment="1">
      <alignment vertical="center"/>
    </xf>
    <xf numFmtId="0" fontId="9" fillId="0" borderId="6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left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NumberFormat="1" applyFont="1" applyBorder="1" applyAlignment="1">
      <alignment horizontal="right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NumberFormat="1" applyFont="1" applyBorder="1" applyAlignment="1">
      <alignment horizontal="right" vertical="center"/>
    </xf>
    <xf numFmtId="0" fontId="9" fillId="0" borderId="6" xfId="0" applyFont="1" applyBorder="1" applyAlignment="1">
      <alignment horizontal="center"/>
    </xf>
    <xf numFmtId="0" fontId="9" fillId="0" borderId="6" xfId="0" applyFont="1" applyBorder="1" applyAlignment="1">
      <alignment horizontal="left"/>
    </xf>
    <xf numFmtId="0" fontId="9" fillId="0" borderId="6" xfId="0" applyFont="1" applyBorder="1"/>
    <xf numFmtId="0" fontId="9" fillId="0" borderId="6" xfId="0" applyFont="1" applyBorder="1" applyAlignment="1"/>
    <xf numFmtId="0" fontId="9" fillId="0" borderId="34" xfId="0" applyFont="1" applyBorder="1" applyAlignment="1"/>
    <xf numFmtId="0" fontId="9" fillId="0" borderId="35" xfId="0" applyFont="1" applyBorder="1" applyAlignment="1"/>
    <xf numFmtId="0" fontId="45" fillId="0" borderId="6" xfId="0" applyFont="1" applyBorder="1" applyAlignment="1"/>
    <xf numFmtId="0" fontId="9" fillId="0" borderId="6" xfId="0" applyNumberFormat="1" applyFont="1" applyBorder="1" applyAlignment="1">
      <alignment horizontal="right"/>
    </xf>
    <xf numFmtId="0" fontId="9" fillId="0" borderId="36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9" fillId="0" borderId="37" xfId="0" applyNumberFormat="1" applyFont="1" applyBorder="1" applyAlignment="1">
      <alignment horizontal="right"/>
    </xf>
    <xf numFmtId="0" fontId="9" fillId="0" borderId="37" xfId="0" applyFont="1" applyBorder="1" applyAlignment="1">
      <alignment horizontal="left"/>
    </xf>
    <xf numFmtId="0" fontId="9" fillId="0" borderId="38" xfId="0" applyFont="1" applyBorder="1" applyAlignment="1">
      <alignment horizontal="left"/>
    </xf>
    <xf numFmtId="0" fontId="10" fillId="0" borderId="37" xfId="0" applyFont="1" applyBorder="1" applyAlignment="1">
      <alignment horizontal="left"/>
    </xf>
    <xf numFmtId="0" fontId="45" fillId="0" borderId="6" xfId="0" applyFont="1" applyFill="1" applyBorder="1" applyAlignment="1"/>
    <xf numFmtId="0" fontId="13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left" vertical="center"/>
    </xf>
    <xf numFmtId="0" fontId="13" fillId="0" borderId="37" xfId="0" applyFont="1" applyBorder="1" applyAlignment="1">
      <alignment horizontal="center" vertical="center"/>
    </xf>
    <xf numFmtId="0" fontId="13" fillId="0" borderId="39" xfId="0" applyNumberFormat="1" applyFont="1" applyBorder="1" applyAlignment="1">
      <alignment horizontal="right" vertical="center"/>
    </xf>
    <xf numFmtId="0" fontId="9" fillId="0" borderId="38" xfId="0" applyFont="1" applyBorder="1" applyAlignment="1"/>
    <xf numFmtId="0" fontId="9" fillId="0" borderId="0" xfId="0" applyFont="1" applyAlignment="1">
      <alignment vertical="center"/>
    </xf>
    <xf numFmtId="0" fontId="47" fillId="0" borderId="40" xfId="0" applyFont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9" fillId="0" borderId="29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47" fillId="0" borderId="40" xfId="0" applyFont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9" fillId="4" borderId="6" xfId="0" applyFont="1" applyFill="1" applyBorder="1" applyAlignment="1">
      <alignment horizontal="left" vertical="center"/>
    </xf>
  </cellXfs>
  <cellStyles count="77">
    <cellStyle name="_【作成中】NEC殿向けeLTAXハウジング概算御見積書【第二版】2008.10.20" xfId="1"/>
    <cellStyle name="_【社内】NEC殿向けeLTAXハウジング概算御見積書2008.10.20" xfId="2"/>
    <cellStyle name="_【提出】NEC殿向けeLTAXハウジング概算御見積書【第二版】2008.10.20" xfId="3"/>
    <cellStyle name="_【提出②】NEC殿向けeLTAXハウジング概算御見積書2008.07.23" xfId="4"/>
    <cellStyle name="" xfId="5"/>
    <cellStyle name="W_@í\¬" xfId="6"/>
    <cellStyle name="BD標準" xfId="7"/>
    <cellStyle name="Border" xfId="8"/>
    <cellStyle name="Calc Currency (0)" xfId="9"/>
    <cellStyle name="category" xfId="10"/>
    <cellStyle name="Comma [0]_CCOCPX" xfId="11"/>
    <cellStyle name="Comma_Capex" xfId="12"/>
    <cellStyle name="Currency [0]_CCOCPX" xfId="13"/>
    <cellStyle name="Currency_CCOCPX" xfId="14"/>
    <cellStyle name="entry" xfId="15"/>
    <cellStyle name="er 2000E NPDL2" xfId="16"/>
    <cellStyle name="Grey" xfId="17"/>
    <cellStyle name="HEADER" xfId="18"/>
    <cellStyle name="Header1" xfId="19"/>
    <cellStyle name="Header2" xfId="20"/>
    <cellStyle name="Input [yellow]" xfId="21"/>
    <cellStyle name="KWE標準" xfId="22"/>
    <cellStyle name="Migliaia (0)_Selezione Ascom TCS" xfId="23"/>
    <cellStyle name="Model" xfId="24"/>
    <cellStyle name="n" xfId="25"/>
    <cellStyle name="Normal - Style1" xfId="26"/>
    <cellStyle name="Normal_#18-Internet" xfId="27"/>
    <cellStyle name="Normale_Selezione Ascom TCS" xfId="28"/>
    <cellStyle name="Percent [2]" xfId="29"/>
    <cellStyle name="Percent_pldt" xfId="30"/>
    <cellStyle name="price" xfId="31"/>
    <cellStyle name="PSChar" xfId="32"/>
    <cellStyle name="PSHeading" xfId="33"/>
    <cellStyle name="revised" xfId="34"/>
    <cellStyle name="section" xfId="35"/>
    <cellStyle name="SPOl" xfId="36"/>
    <cellStyle name="Standard_virus" xfId="37"/>
    <cellStyle name="Style 27" xfId="38"/>
    <cellStyle name="Style 34" xfId="39"/>
    <cellStyle name="Style 35" xfId="40"/>
    <cellStyle name="subhead" xfId="41"/>
    <cellStyle name="title" xfId="42"/>
    <cellStyle name="umeda" xfId="43"/>
    <cellStyle name="W臧rung [0]_pldt" xfId="44"/>
    <cellStyle name="W臧rung_pldt" xfId="45"/>
    <cellStyle name="スタイル 1" xfId="46"/>
    <cellStyle name="ﾄﾞｸｶ [0]_ｰ豼ｵﾃﾟﾁ " xfId="47"/>
    <cellStyle name="ﾄﾞｸｶ_ｰ豼ｵﾃﾟﾁ " xfId="48"/>
    <cellStyle name="ﾅ・ｭ [0]_ｰ豼ｵﾃﾟﾁ " xfId="49"/>
    <cellStyle name="ﾅ・ｭ_ｰ豼ｵﾃﾟﾁ " xfId="50"/>
    <cellStyle name="ﾇ･ﾁﾘ_ｰﾇﾃ狒｡" xfId="51"/>
    <cellStyle name="価格桁区切り" xfId="52"/>
    <cellStyle name="型番" xfId="53"/>
    <cellStyle name="桁蟻唇Ｆ [0.00]_laroux" xfId="54"/>
    <cellStyle name="桁蟻唇Ｆ_laroux" xfId="55"/>
    <cellStyle name="数値" xfId="56"/>
    <cellStyle name="数値（桁区切り）" xfId="57"/>
    <cellStyle name="数値_!Check0820" xfId="58"/>
    <cellStyle name="製品通知&quot;-&quot;" xfId="59"/>
    <cellStyle name="製品通知価格" xfId="60"/>
    <cellStyle name="製品通知日付" xfId="61"/>
    <cellStyle name="製品通知文字列" xfId="62"/>
    <cellStyle name="脱浦 [0.00]_laroux" xfId="63"/>
    <cellStyle name="脱浦_laroux" xfId="64"/>
    <cellStyle name="帳票" xfId="65"/>
    <cellStyle name="追加スタイル（梅田）" xfId="66"/>
    <cellStyle name="日付" xfId="67"/>
    <cellStyle name="年月日" xfId="68"/>
    <cellStyle name="標準" xfId="0" builtinId="0"/>
    <cellStyle name="標準 2" xfId="69"/>
    <cellStyle name="標準 2 2" xfId="70"/>
    <cellStyle name="標準Ａ" xfId="71"/>
    <cellStyle name="文字" xfId="72"/>
    <cellStyle name="文字列" xfId="73"/>
    <cellStyle name="未定義" xfId="74"/>
    <cellStyle name="樘準_購－表紙 (2)_1_型－PRINT_ＳＩ型番 (2)_構成明細  (原調込み） (2)" xfId="75"/>
    <cellStyle name="湪" xfId="7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showGridLines="0" zoomScaleNormal="100" zoomScaleSheetLayoutView="100" workbookViewId="0">
      <selection activeCell="F4" sqref="F4"/>
    </sheetView>
  </sheetViews>
  <sheetFormatPr defaultColWidth="9" defaultRowHeight="13.5"/>
  <cols>
    <col min="1" max="1" width="2.75" style="23" customWidth="1"/>
    <col min="2" max="2" width="4.75" style="23" customWidth="1"/>
    <col min="3" max="3" width="18.5" style="23" customWidth="1"/>
    <col min="4" max="4" width="5.625" style="43" customWidth="1"/>
    <col min="5" max="5" width="5.625" style="28" customWidth="1"/>
    <col min="6" max="6" width="54.375" style="23" customWidth="1"/>
    <col min="7" max="7" width="3.25" style="23" customWidth="1"/>
    <col min="8" max="16384" width="9" style="23"/>
  </cols>
  <sheetData>
    <row r="1" spans="1:6" ht="14.25">
      <c r="A1" s="1"/>
      <c r="B1" s="135" t="s">
        <v>80</v>
      </c>
      <c r="C1" s="135"/>
      <c r="D1" s="135"/>
      <c r="E1" s="135"/>
      <c r="F1" s="135"/>
    </row>
    <row r="2" spans="1:6" ht="14.25">
      <c r="A2" s="1"/>
      <c r="B2" s="135"/>
      <c r="C2" s="135"/>
      <c r="D2" s="135"/>
      <c r="E2" s="135"/>
      <c r="F2" s="135"/>
    </row>
    <row r="3" spans="1:6">
      <c r="A3" s="24"/>
      <c r="B3" s="25"/>
      <c r="D3" s="26"/>
      <c r="E3" s="27"/>
    </row>
    <row r="4" spans="1:6" ht="14.25" thickBot="1">
      <c r="B4" s="23" t="s">
        <v>81</v>
      </c>
      <c r="D4" s="23"/>
      <c r="F4" s="133" t="s">
        <v>326</v>
      </c>
    </row>
    <row r="5" spans="1:6" ht="14.25" thickBot="1">
      <c r="B5" s="7" t="s">
        <v>2</v>
      </c>
      <c r="C5" s="8" t="s">
        <v>3</v>
      </c>
      <c r="D5" s="8" t="s">
        <v>4</v>
      </c>
      <c r="E5" s="102" t="s">
        <v>311</v>
      </c>
      <c r="F5" s="8" t="s">
        <v>6</v>
      </c>
    </row>
    <row r="6" spans="1:6" ht="14.25" thickTop="1">
      <c r="B6" s="105">
        <v>1</v>
      </c>
      <c r="C6" s="106" t="s">
        <v>82</v>
      </c>
      <c r="D6" s="107" t="s">
        <v>8</v>
      </c>
      <c r="E6" s="108">
        <v>8</v>
      </c>
      <c r="F6" s="136" t="s">
        <v>83</v>
      </c>
    </row>
    <row r="7" spans="1:6" ht="14.25" thickBot="1">
      <c r="B7" s="109">
        <v>2</v>
      </c>
      <c r="C7" s="110" t="s">
        <v>84</v>
      </c>
      <c r="D7" s="111" t="s">
        <v>11</v>
      </c>
      <c r="E7" s="112">
        <v>6</v>
      </c>
      <c r="F7" s="137"/>
    </row>
    <row r="8" spans="1:6" ht="45.75" thickTop="1">
      <c r="B8" s="29">
        <v>3</v>
      </c>
      <c r="C8" s="30" t="s">
        <v>85</v>
      </c>
      <c r="D8" s="29" t="s">
        <v>8</v>
      </c>
      <c r="E8" s="31">
        <v>2</v>
      </c>
      <c r="F8" s="104" t="s">
        <v>86</v>
      </c>
    </row>
    <row r="9" spans="1:6">
      <c r="B9" s="32">
        <v>4</v>
      </c>
      <c r="C9" s="33" t="s">
        <v>87</v>
      </c>
      <c r="D9" s="32" t="s">
        <v>8</v>
      </c>
      <c r="E9" s="34">
        <v>2</v>
      </c>
      <c r="F9" s="33" t="s">
        <v>88</v>
      </c>
    </row>
    <row r="10" spans="1:6">
      <c r="B10" s="32">
        <v>5</v>
      </c>
      <c r="C10" s="35" t="s">
        <v>89</v>
      </c>
      <c r="D10" s="32" t="s">
        <v>8</v>
      </c>
      <c r="E10" s="34">
        <v>4</v>
      </c>
      <c r="F10" s="33"/>
    </row>
    <row r="11" spans="1:6">
      <c r="B11" s="32">
        <v>6</v>
      </c>
      <c r="C11" s="33" t="s">
        <v>90</v>
      </c>
      <c r="D11" s="32" t="s">
        <v>8</v>
      </c>
      <c r="E11" s="34">
        <v>10</v>
      </c>
      <c r="F11" s="33"/>
    </row>
    <row r="12" spans="1:6">
      <c r="B12" s="32">
        <v>7</v>
      </c>
      <c r="C12" s="33" t="s">
        <v>91</v>
      </c>
      <c r="D12" s="32" t="s">
        <v>323</v>
      </c>
      <c r="E12" s="34">
        <v>50</v>
      </c>
      <c r="F12" s="33"/>
    </row>
    <row r="13" spans="1:6">
      <c r="B13" s="32">
        <v>8</v>
      </c>
      <c r="C13" s="33" t="s">
        <v>92</v>
      </c>
      <c r="D13" s="32" t="s">
        <v>323</v>
      </c>
      <c r="E13" s="34">
        <v>50</v>
      </c>
      <c r="F13" s="33"/>
    </row>
    <row r="14" spans="1:6">
      <c r="B14" s="32">
        <v>9</v>
      </c>
      <c r="C14" s="33" t="s">
        <v>93</v>
      </c>
      <c r="D14" s="32" t="s">
        <v>323</v>
      </c>
      <c r="E14" s="34">
        <v>80</v>
      </c>
      <c r="F14" s="33"/>
    </row>
    <row r="15" spans="1:6">
      <c r="B15" s="32">
        <v>10</v>
      </c>
      <c r="C15" s="33" t="s">
        <v>94</v>
      </c>
      <c r="D15" s="32" t="s">
        <v>323</v>
      </c>
      <c r="E15" s="34">
        <v>80</v>
      </c>
      <c r="F15" s="33"/>
    </row>
    <row r="16" spans="1:6">
      <c r="B16" s="32">
        <v>11</v>
      </c>
      <c r="C16" s="33" t="s">
        <v>95</v>
      </c>
      <c r="D16" s="32" t="s">
        <v>8</v>
      </c>
      <c r="E16" s="34">
        <v>13</v>
      </c>
      <c r="F16" s="33"/>
    </row>
    <row r="17" spans="2:6">
      <c r="B17" s="32">
        <v>12</v>
      </c>
      <c r="C17" s="15" t="s">
        <v>96</v>
      </c>
      <c r="D17" s="32" t="s">
        <v>8</v>
      </c>
      <c r="E17" s="34">
        <v>15</v>
      </c>
      <c r="F17" s="33"/>
    </row>
    <row r="18" spans="2:6">
      <c r="B18" s="32">
        <v>13</v>
      </c>
      <c r="C18" s="15" t="s">
        <v>97</v>
      </c>
      <c r="D18" s="32" t="s">
        <v>8</v>
      </c>
      <c r="E18" s="34">
        <v>10</v>
      </c>
      <c r="F18" s="33"/>
    </row>
    <row r="19" spans="2:6">
      <c r="B19" s="32">
        <v>14</v>
      </c>
      <c r="C19" s="15" t="s">
        <v>98</v>
      </c>
      <c r="D19" s="32" t="s">
        <v>8</v>
      </c>
      <c r="E19" s="34">
        <v>10</v>
      </c>
      <c r="F19" s="33"/>
    </row>
    <row r="20" spans="2:6">
      <c r="B20" s="32">
        <v>15</v>
      </c>
      <c r="C20" s="15" t="s">
        <v>99</v>
      </c>
      <c r="D20" s="32" t="s">
        <v>324</v>
      </c>
      <c r="E20" s="34">
        <v>10</v>
      </c>
      <c r="F20" s="33"/>
    </row>
    <row r="21" spans="2:6">
      <c r="B21" s="32">
        <v>16</v>
      </c>
      <c r="C21" s="15" t="s">
        <v>100</v>
      </c>
      <c r="D21" s="32" t="s">
        <v>324</v>
      </c>
      <c r="E21" s="34">
        <v>10</v>
      </c>
      <c r="F21" s="33"/>
    </row>
    <row r="22" spans="2:6">
      <c r="B22" s="32">
        <v>17</v>
      </c>
      <c r="C22" s="15" t="s">
        <v>101</v>
      </c>
      <c r="D22" s="32" t="s">
        <v>324</v>
      </c>
      <c r="E22" s="34">
        <v>10</v>
      </c>
      <c r="F22" s="33"/>
    </row>
    <row r="23" spans="2:6">
      <c r="B23" s="32">
        <v>18</v>
      </c>
      <c r="C23" s="15" t="s">
        <v>102</v>
      </c>
      <c r="D23" s="32" t="s">
        <v>324</v>
      </c>
      <c r="E23" s="34">
        <v>10</v>
      </c>
      <c r="F23" s="33"/>
    </row>
    <row r="24" spans="2:6">
      <c r="B24" s="32">
        <v>19</v>
      </c>
      <c r="C24" s="15" t="s">
        <v>103</v>
      </c>
      <c r="D24" s="32" t="s">
        <v>324</v>
      </c>
      <c r="E24" s="34">
        <v>10</v>
      </c>
      <c r="F24" s="33"/>
    </row>
    <row r="25" spans="2:6">
      <c r="B25" s="32">
        <v>20</v>
      </c>
      <c r="C25" s="15" t="s">
        <v>104</v>
      </c>
      <c r="D25" s="32" t="s">
        <v>325</v>
      </c>
      <c r="E25" s="34">
        <v>7</v>
      </c>
      <c r="F25" s="33"/>
    </row>
    <row r="26" spans="2:6">
      <c r="B26" s="32">
        <v>21</v>
      </c>
      <c r="C26" s="33" t="s">
        <v>105</v>
      </c>
      <c r="D26" s="32" t="s">
        <v>324</v>
      </c>
      <c r="E26" s="34">
        <v>10</v>
      </c>
      <c r="F26" s="33"/>
    </row>
    <row r="27" spans="2:6">
      <c r="B27" s="32">
        <v>22</v>
      </c>
      <c r="C27" s="33" t="s">
        <v>106</v>
      </c>
      <c r="D27" s="32" t="s">
        <v>325</v>
      </c>
      <c r="E27" s="34">
        <v>7</v>
      </c>
      <c r="F27" s="33"/>
    </row>
    <row r="28" spans="2:6">
      <c r="B28" s="32">
        <v>23</v>
      </c>
      <c r="C28" s="33" t="s">
        <v>107</v>
      </c>
      <c r="D28" s="32" t="s">
        <v>324</v>
      </c>
      <c r="E28" s="34">
        <v>10</v>
      </c>
      <c r="F28" s="33"/>
    </row>
    <row r="29" spans="2:6">
      <c r="B29" s="32">
        <v>24</v>
      </c>
      <c r="C29" s="33" t="s">
        <v>108</v>
      </c>
      <c r="D29" s="32" t="s">
        <v>325</v>
      </c>
      <c r="E29" s="34">
        <v>7</v>
      </c>
      <c r="F29" s="33"/>
    </row>
    <row r="30" spans="2:6">
      <c r="B30" s="32">
        <v>25</v>
      </c>
      <c r="C30" s="36" t="s">
        <v>109</v>
      </c>
      <c r="D30" s="32" t="s">
        <v>324</v>
      </c>
      <c r="E30" s="34">
        <v>10</v>
      </c>
      <c r="F30" s="33"/>
    </row>
    <row r="31" spans="2:6">
      <c r="B31" s="32">
        <v>26</v>
      </c>
      <c r="C31" s="15" t="s">
        <v>110</v>
      </c>
      <c r="D31" s="32" t="s">
        <v>325</v>
      </c>
      <c r="E31" s="34">
        <v>15</v>
      </c>
      <c r="F31" s="138" t="s">
        <v>111</v>
      </c>
    </row>
    <row r="32" spans="2:6">
      <c r="B32" s="32">
        <v>27</v>
      </c>
      <c r="C32" s="15" t="s">
        <v>112</v>
      </c>
      <c r="D32" s="32" t="s">
        <v>324</v>
      </c>
      <c r="E32" s="34">
        <v>10</v>
      </c>
      <c r="F32" s="138"/>
    </row>
    <row r="33" spans="2:6">
      <c r="B33" s="32">
        <v>28</v>
      </c>
      <c r="C33" s="15" t="s">
        <v>113</v>
      </c>
      <c r="D33" s="32" t="s">
        <v>8</v>
      </c>
      <c r="E33" s="34">
        <v>10</v>
      </c>
      <c r="F33" s="138"/>
    </row>
    <row r="34" spans="2:6">
      <c r="B34" s="32">
        <v>29</v>
      </c>
      <c r="C34" s="15" t="s">
        <v>114</v>
      </c>
      <c r="D34" s="32" t="s">
        <v>323</v>
      </c>
      <c r="E34" s="34">
        <v>40</v>
      </c>
      <c r="F34" s="138"/>
    </row>
    <row r="35" spans="2:6">
      <c r="B35" s="32">
        <v>30</v>
      </c>
      <c r="C35" s="15" t="s">
        <v>115</v>
      </c>
      <c r="D35" s="32" t="s">
        <v>323</v>
      </c>
      <c r="E35" s="34">
        <v>40</v>
      </c>
      <c r="F35" s="138"/>
    </row>
    <row r="36" spans="2:6">
      <c r="B36" s="32">
        <v>31</v>
      </c>
      <c r="C36" s="15" t="s">
        <v>116</v>
      </c>
      <c r="D36" s="32" t="s">
        <v>8</v>
      </c>
      <c r="E36" s="34">
        <v>1</v>
      </c>
      <c r="F36" s="138"/>
    </row>
    <row r="37" spans="2:6">
      <c r="B37" s="32">
        <v>32</v>
      </c>
      <c r="C37" s="15" t="s">
        <v>117</v>
      </c>
      <c r="D37" s="32" t="s">
        <v>8</v>
      </c>
      <c r="E37" s="34">
        <v>10</v>
      </c>
      <c r="F37" s="138"/>
    </row>
    <row r="38" spans="2:6">
      <c r="B38" s="32">
        <v>33</v>
      </c>
      <c r="C38" s="15" t="s">
        <v>118</v>
      </c>
      <c r="D38" s="32" t="s">
        <v>323</v>
      </c>
      <c r="E38" s="34">
        <v>70</v>
      </c>
      <c r="F38" s="138"/>
    </row>
    <row r="39" spans="2:6">
      <c r="B39" s="32">
        <v>34</v>
      </c>
      <c r="C39" s="15" t="s">
        <v>104</v>
      </c>
      <c r="D39" s="32" t="s">
        <v>325</v>
      </c>
      <c r="E39" s="34">
        <v>7</v>
      </c>
      <c r="F39" s="138"/>
    </row>
    <row r="40" spans="2:6">
      <c r="B40" s="32">
        <v>35</v>
      </c>
      <c r="C40" s="33" t="s">
        <v>119</v>
      </c>
      <c r="D40" s="32" t="s">
        <v>324</v>
      </c>
      <c r="E40" s="34">
        <v>10</v>
      </c>
      <c r="F40" s="138"/>
    </row>
    <row r="41" spans="2:6">
      <c r="B41" s="32">
        <v>36</v>
      </c>
      <c r="C41" s="33" t="s">
        <v>120</v>
      </c>
      <c r="D41" s="32" t="s">
        <v>325</v>
      </c>
      <c r="E41" s="34">
        <v>7</v>
      </c>
      <c r="F41" s="138"/>
    </row>
    <row r="42" spans="2:6">
      <c r="B42" s="32">
        <v>37</v>
      </c>
      <c r="C42" s="33" t="s">
        <v>121</v>
      </c>
      <c r="D42" s="32" t="s">
        <v>324</v>
      </c>
      <c r="E42" s="34">
        <v>10</v>
      </c>
      <c r="F42" s="138"/>
    </row>
    <row r="43" spans="2:6">
      <c r="B43" s="32">
        <v>38</v>
      </c>
      <c r="C43" s="33" t="s">
        <v>122</v>
      </c>
      <c r="D43" s="32" t="s">
        <v>325</v>
      </c>
      <c r="E43" s="34">
        <v>7</v>
      </c>
      <c r="F43" s="138"/>
    </row>
    <row r="44" spans="2:6">
      <c r="B44" s="32">
        <v>39</v>
      </c>
      <c r="C44" s="36" t="s">
        <v>123</v>
      </c>
      <c r="D44" s="32" t="s">
        <v>324</v>
      </c>
      <c r="E44" s="34">
        <v>10</v>
      </c>
      <c r="F44" s="138"/>
    </row>
    <row r="45" spans="2:6">
      <c r="B45" s="37">
        <v>40</v>
      </c>
      <c r="C45" s="16" t="s">
        <v>124</v>
      </c>
      <c r="D45" s="37" t="s">
        <v>8</v>
      </c>
      <c r="E45" s="38">
        <v>8</v>
      </c>
      <c r="F45" s="39"/>
    </row>
    <row r="46" spans="2:6">
      <c r="B46" s="37">
        <v>41</v>
      </c>
      <c r="C46" s="16" t="s">
        <v>125</v>
      </c>
      <c r="D46" s="37" t="s">
        <v>8</v>
      </c>
      <c r="E46" s="38">
        <v>13</v>
      </c>
      <c r="F46" s="39"/>
    </row>
    <row r="47" spans="2:6">
      <c r="B47" s="37">
        <v>42</v>
      </c>
      <c r="C47" s="16" t="s">
        <v>126</v>
      </c>
      <c r="D47" s="37" t="s">
        <v>8</v>
      </c>
      <c r="E47" s="38">
        <v>13</v>
      </c>
      <c r="F47" s="39"/>
    </row>
    <row r="48" spans="2:6">
      <c r="B48" s="37">
        <v>43</v>
      </c>
      <c r="C48" s="16" t="s">
        <v>127</v>
      </c>
      <c r="D48" s="37" t="s">
        <v>8</v>
      </c>
      <c r="E48" s="38">
        <v>13</v>
      </c>
      <c r="F48" s="39"/>
    </row>
    <row r="49" spans="2:6">
      <c r="B49" s="32">
        <v>44</v>
      </c>
      <c r="C49" s="15" t="s">
        <v>128</v>
      </c>
      <c r="D49" s="32" t="s">
        <v>8</v>
      </c>
      <c r="E49" s="34">
        <v>44</v>
      </c>
      <c r="F49" s="33" t="s">
        <v>129</v>
      </c>
    </row>
    <row r="50" spans="2:6">
      <c r="B50" s="32">
        <v>45</v>
      </c>
      <c r="C50" s="15" t="s">
        <v>130</v>
      </c>
      <c r="D50" s="32" t="s">
        <v>8</v>
      </c>
      <c r="E50" s="34">
        <v>16</v>
      </c>
      <c r="F50" s="33" t="s">
        <v>131</v>
      </c>
    </row>
    <row r="51" spans="2:6">
      <c r="B51" s="32">
        <v>46</v>
      </c>
      <c r="C51" s="33" t="s">
        <v>132</v>
      </c>
      <c r="D51" s="32" t="s">
        <v>8</v>
      </c>
      <c r="E51" s="34">
        <v>1</v>
      </c>
      <c r="F51" s="33"/>
    </row>
    <row r="52" spans="2:6">
      <c r="B52" s="32">
        <v>47</v>
      </c>
      <c r="C52" s="33" t="s">
        <v>133</v>
      </c>
      <c r="D52" s="32" t="s">
        <v>8</v>
      </c>
      <c r="E52" s="34">
        <v>1</v>
      </c>
      <c r="F52" s="33"/>
    </row>
    <row r="53" spans="2:6">
      <c r="B53" s="40">
        <v>48</v>
      </c>
      <c r="C53" s="41" t="s">
        <v>134</v>
      </c>
      <c r="D53" s="40" t="s">
        <v>8</v>
      </c>
      <c r="E53" s="42">
        <v>3</v>
      </c>
      <c r="F53" s="41"/>
    </row>
    <row r="54" spans="2:6">
      <c r="E54" s="23">
        <f>SUM(E6:E53)</f>
        <v>800</v>
      </c>
    </row>
  </sheetData>
  <mergeCells count="3">
    <mergeCell ref="B1:F2"/>
    <mergeCell ref="F6:F7"/>
    <mergeCell ref="F31:F44"/>
  </mergeCells>
  <phoneticPr fontId="4"/>
  <pageMargins left="0.39370078740157483" right="0.39370078740157483" top="0.19685039370078741" bottom="0.31496062992125984" header="0.51181102362204722" footer="0.31496062992125984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showGridLines="0" zoomScaleNormal="100" zoomScaleSheetLayoutView="100" workbookViewId="0"/>
  </sheetViews>
  <sheetFormatPr defaultColWidth="9" defaultRowHeight="13.5"/>
  <cols>
    <col min="1" max="1" width="2.75" style="23" customWidth="1"/>
    <col min="2" max="2" width="4.75" style="23" customWidth="1"/>
    <col min="3" max="3" width="18.5" style="23" customWidth="1"/>
    <col min="4" max="4" width="5.625" style="43" customWidth="1"/>
    <col min="5" max="5" width="5.625" style="28" customWidth="1"/>
    <col min="6" max="6" width="54.375" style="23" customWidth="1"/>
    <col min="7" max="7" width="3.25" style="23" customWidth="1"/>
    <col min="8" max="16384" width="9" style="23"/>
  </cols>
  <sheetData>
    <row r="1" spans="1:6" ht="14.25">
      <c r="A1" s="1"/>
      <c r="B1" s="135" t="s">
        <v>135</v>
      </c>
      <c r="C1" s="135"/>
      <c r="D1" s="135"/>
      <c r="E1" s="135"/>
      <c r="F1" s="135"/>
    </row>
    <row r="2" spans="1:6" ht="14.25">
      <c r="A2" s="1"/>
      <c r="B2" s="135"/>
      <c r="C2" s="135"/>
      <c r="D2" s="135"/>
      <c r="E2" s="135"/>
      <c r="F2" s="135"/>
    </row>
    <row r="3" spans="1:6">
      <c r="A3" s="24"/>
      <c r="B3" s="25"/>
      <c r="D3" s="26"/>
      <c r="E3" s="27"/>
    </row>
    <row r="4" spans="1:6" ht="14.25" thickBot="1">
      <c r="B4" s="23" t="s">
        <v>136</v>
      </c>
      <c r="D4" s="23"/>
      <c r="F4" s="133" t="s">
        <v>326</v>
      </c>
    </row>
    <row r="5" spans="1:6" ht="14.25" thickBot="1">
      <c r="B5" s="7" t="s">
        <v>2</v>
      </c>
      <c r="C5" s="8" t="s">
        <v>3</v>
      </c>
      <c r="D5" s="8" t="s">
        <v>4</v>
      </c>
      <c r="E5" s="102" t="s">
        <v>311</v>
      </c>
      <c r="F5" s="8" t="s">
        <v>6</v>
      </c>
    </row>
    <row r="6" spans="1:6" ht="14.25" thickTop="1">
      <c r="B6" s="105">
        <v>1</v>
      </c>
      <c r="C6" s="106" t="s">
        <v>82</v>
      </c>
      <c r="D6" s="107" t="s">
        <v>8</v>
      </c>
      <c r="E6" s="108">
        <v>8</v>
      </c>
      <c r="F6" s="117"/>
    </row>
    <row r="7" spans="1:6" ht="14.25" thickBot="1">
      <c r="B7" s="109">
        <v>2</v>
      </c>
      <c r="C7" s="110" t="s">
        <v>84</v>
      </c>
      <c r="D7" s="111" t="s">
        <v>11</v>
      </c>
      <c r="E7" s="112">
        <v>6</v>
      </c>
      <c r="F7" s="118"/>
    </row>
    <row r="8" spans="1:6" ht="14.25" thickTop="1">
      <c r="B8" s="113">
        <v>3</v>
      </c>
      <c r="C8" s="114" t="s">
        <v>137</v>
      </c>
      <c r="D8" s="113">
        <v>9</v>
      </c>
      <c r="E8" s="115">
        <v>9</v>
      </c>
      <c r="F8" s="116"/>
    </row>
    <row r="9" spans="1:6">
      <c r="B9" s="79">
        <v>4</v>
      </c>
      <c r="C9" s="80" t="s">
        <v>145</v>
      </c>
      <c r="D9" s="79" t="s">
        <v>11</v>
      </c>
      <c r="E9" s="81">
        <v>1</v>
      </c>
      <c r="F9" s="82" t="s">
        <v>151</v>
      </c>
    </row>
    <row r="10" spans="1:6">
      <c r="B10" s="44">
        <v>5</v>
      </c>
      <c r="C10" s="45" t="s">
        <v>146</v>
      </c>
      <c r="D10" s="44" t="s">
        <v>11</v>
      </c>
      <c r="E10" s="46">
        <v>4</v>
      </c>
      <c r="F10" s="54" t="s">
        <v>147</v>
      </c>
    </row>
    <row r="11" spans="1:6">
      <c r="B11" s="44">
        <v>6</v>
      </c>
      <c r="C11" s="45" t="s">
        <v>139</v>
      </c>
      <c r="D11" s="44" t="s">
        <v>312</v>
      </c>
      <c r="E11" s="46">
        <v>120</v>
      </c>
      <c r="F11" s="55" t="s">
        <v>148</v>
      </c>
    </row>
    <row r="12" spans="1:6">
      <c r="B12" s="47">
        <v>7</v>
      </c>
      <c r="C12" s="48" t="s">
        <v>149</v>
      </c>
      <c r="D12" s="47" t="s">
        <v>150</v>
      </c>
      <c r="E12" s="49">
        <v>108</v>
      </c>
      <c r="F12" s="56"/>
    </row>
    <row r="13" spans="1:6">
      <c r="B13" s="50"/>
      <c r="C13" s="51"/>
      <c r="D13" s="50"/>
      <c r="E13" s="52">
        <f>SUM(E6:E12)</f>
        <v>256</v>
      </c>
      <c r="F13" s="51"/>
    </row>
    <row r="14" spans="1:6" ht="14.25" thickBot="1"/>
    <row r="15" spans="1:6" ht="14.25" thickBot="1">
      <c r="B15" s="7" t="s">
        <v>2</v>
      </c>
      <c r="C15" s="8" t="s">
        <v>3</v>
      </c>
      <c r="D15" s="8" t="s">
        <v>4</v>
      </c>
      <c r="E15" s="102" t="s">
        <v>311</v>
      </c>
      <c r="F15" s="8" t="s">
        <v>6</v>
      </c>
    </row>
    <row r="16" spans="1:6" ht="14.25" thickTop="1">
      <c r="B16" s="105">
        <v>1</v>
      </c>
      <c r="C16" s="106" t="s">
        <v>82</v>
      </c>
      <c r="D16" s="107" t="s">
        <v>8</v>
      </c>
      <c r="E16" s="108">
        <v>8</v>
      </c>
      <c r="F16" s="117"/>
    </row>
    <row r="17" spans="2:6" ht="14.25" thickBot="1">
      <c r="B17" s="109">
        <v>2</v>
      </c>
      <c r="C17" s="110" t="s">
        <v>84</v>
      </c>
      <c r="D17" s="111" t="s">
        <v>11</v>
      </c>
      <c r="E17" s="112">
        <v>6</v>
      </c>
      <c r="F17" s="118"/>
    </row>
    <row r="18" spans="2:6" ht="14.25" thickTop="1">
      <c r="B18" s="58">
        <v>3</v>
      </c>
      <c r="C18" s="59" t="s">
        <v>137</v>
      </c>
      <c r="D18" s="58">
        <v>9</v>
      </c>
      <c r="E18" s="60">
        <v>9</v>
      </c>
      <c r="F18" s="119"/>
    </row>
    <row r="19" spans="2:6">
      <c r="B19" s="79">
        <v>4</v>
      </c>
      <c r="C19" s="80" t="s">
        <v>145</v>
      </c>
      <c r="D19" s="79" t="s">
        <v>11</v>
      </c>
      <c r="E19" s="81">
        <v>1</v>
      </c>
      <c r="F19" s="82" t="s">
        <v>178</v>
      </c>
    </row>
    <row r="20" spans="2:6">
      <c r="B20" s="44">
        <v>5</v>
      </c>
      <c r="C20" s="45" t="s">
        <v>146</v>
      </c>
      <c r="D20" s="44" t="s">
        <v>11</v>
      </c>
      <c r="E20" s="46">
        <v>4</v>
      </c>
      <c r="F20" s="54" t="s">
        <v>147</v>
      </c>
    </row>
    <row r="21" spans="2:6">
      <c r="B21" s="44">
        <v>6</v>
      </c>
      <c r="C21" s="45" t="s">
        <v>153</v>
      </c>
      <c r="D21" s="44" t="s">
        <v>312</v>
      </c>
      <c r="E21" s="46">
        <v>20</v>
      </c>
      <c r="F21" s="54" t="s">
        <v>154</v>
      </c>
    </row>
    <row r="22" spans="2:6">
      <c r="B22" s="44">
        <v>7</v>
      </c>
      <c r="C22" s="45" t="s">
        <v>155</v>
      </c>
      <c r="D22" s="44" t="s">
        <v>11</v>
      </c>
      <c r="E22" s="46">
        <v>1</v>
      </c>
      <c r="F22" s="54"/>
    </row>
    <row r="23" spans="2:6">
      <c r="B23" s="9">
        <v>8</v>
      </c>
      <c r="C23" s="10" t="s">
        <v>157</v>
      </c>
      <c r="D23" s="9" t="s">
        <v>312</v>
      </c>
      <c r="E23" s="17">
        <v>20</v>
      </c>
      <c r="F23" s="53" t="s">
        <v>158</v>
      </c>
    </row>
    <row r="24" spans="2:6">
      <c r="B24" s="9">
        <v>9</v>
      </c>
      <c r="C24" s="10" t="s">
        <v>159</v>
      </c>
      <c r="D24" s="9" t="s">
        <v>11</v>
      </c>
      <c r="E24" s="17">
        <v>1</v>
      </c>
      <c r="F24" s="53"/>
    </row>
    <row r="25" spans="2:6">
      <c r="B25" s="9">
        <v>10</v>
      </c>
      <c r="C25" s="10" t="s">
        <v>161</v>
      </c>
      <c r="D25" s="9" t="s">
        <v>312</v>
      </c>
      <c r="E25" s="17">
        <v>20</v>
      </c>
      <c r="F25" s="53" t="s">
        <v>162</v>
      </c>
    </row>
    <row r="26" spans="2:6">
      <c r="B26" s="9">
        <v>11</v>
      </c>
      <c r="C26" s="10" t="s">
        <v>163</v>
      </c>
      <c r="D26" s="9" t="s">
        <v>11</v>
      </c>
      <c r="E26" s="17">
        <v>1</v>
      </c>
      <c r="F26" s="53"/>
    </row>
    <row r="27" spans="2:6">
      <c r="B27" s="9">
        <v>12</v>
      </c>
      <c r="C27" s="10" t="s">
        <v>164</v>
      </c>
      <c r="D27" s="9" t="s">
        <v>312</v>
      </c>
      <c r="E27" s="17">
        <v>20</v>
      </c>
      <c r="F27" s="53" t="s">
        <v>165</v>
      </c>
    </row>
    <row r="28" spans="2:6">
      <c r="B28" s="9">
        <v>13</v>
      </c>
      <c r="C28" s="10" t="s">
        <v>166</v>
      </c>
      <c r="D28" s="9" t="s">
        <v>11</v>
      </c>
      <c r="E28" s="17">
        <v>1</v>
      </c>
      <c r="F28" s="53"/>
    </row>
    <row r="29" spans="2:6">
      <c r="B29" s="9">
        <v>14</v>
      </c>
      <c r="C29" s="10" t="s">
        <v>167</v>
      </c>
      <c r="D29" s="9" t="s">
        <v>312</v>
      </c>
      <c r="E29" s="17">
        <v>20</v>
      </c>
      <c r="F29" s="78" t="s">
        <v>169</v>
      </c>
    </row>
    <row r="30" spans="2:6">
      <c r="B30" s="9">
        <v>15</v>
      </c>
      <c r="C30" s="10" t="s">
        <v>170</v>
      </c>
      <c r="D30" s="9" t="s">
        <v>11</v>
      </c>
      <c r="E30" s="17">
        <v>1</v>
      </c>
      <c r="F30" s="53"/>
    </row>
    <row r="31" spans="2:6">
      <c r="B31" s="9">
        <v>16</v>
      </c>
      <c r="C31" s="10" t="s">
        <v>172</v>
      </c>
      <c r="D31" s="9" t="s">
        <v>312</v>
      </c>
      <c r="E31" s="17">
        <v>4</v>
      </c>
      <c r="F31" s="53" t="s">
        <v>174</v>
      </c>
    </row>
    <row r="32" spans="2:6">
      <c r="B32" s="9">
        <v>17</v>
      </c>
      <c r="C32" s="10" t="s">
        <v>3</v>
      </c>
      <c r="D32" s="9" t="s">
        <v>312</v>
      </c>
      <c r="E32" s="17">
        <v>20</v>
      </c>
      <c r="F32" s="53" t="s">
        <v>177</v>
      </c>
    </row>
    <row r="33" spans="2:6">
      <c r="B33" s="19">
        <v>18</v>
      </c>
      <c r="C33" s="20" t="s">
        <v>149</v>
      </c>
      <c r="D33" s="19" t="s">
        <v>150</v>
      </c>
      <c r="E33" s="57">
        <v>99</v>
      </c>
      <c r="F33" s="73"/>
    </row>
    <row r="34" spans="2:6">
      <c r="E34" s="52">
        <f>SUM(E16:E33)</f>
        <v>256</v>
      </c>
    </row>
    <row r="35" spans="2:6" ht="14.25" thickBot="1"/>
    <row r="36" spans="2:6" ht="14.25" thickBot="1">
      <c r="B36" s="7" t="s">
        <v>2</v>
      </c>
      <c r="C36" s="8" t="s">
        <v>3</v>
      </c>
      <c r="D36" s="8" t="s">
        <v>4</v>
      </c>
      <c r="E36" s="102" t="s">
        <v>311</v>
      </c>
      <c r="F36" s="8" t="s">
        <v>6</v>
      </c>
    </row>
    <row r="37" spans="2:6" ht="14.25" thickTop="1">
      <c r="B37" s="105">
        <v>1</v>
      </c>
      <c r="C37" s="106" t="s">
        <v>82</v>
      </c>
      <c r="D37" s="107" t="s">
        <v>8</v>
      </c>
      <c r="E37" s="108">
        <v>8</v>
      </c>
      <c r="F37" s="117"/>
    </row>
    <row r="38" spans="2:6" ht="14.25" thickBot="1">
      <c r="B38" s="109">
        <v>2</v>
      </c>
      <c r="C38" s="110" t="s">
        <v>84</v>
      </c>
      <c r="D38" s="111" t="s">
        <v>11</v>
      </c>
      <c r="E38" s="112">
        <v>6</v>
      </c>
      <c r="F38" s="118"/>
    </row>
    <row r="39" spans="2:6" ht="14.25" thickTop="1">
      <c r="B39" s="58">
        <v>3</v>
      </c>
      <c r="C39" s="59" t="s">
        <v>137</v>
      </c>
      <c r="D39" s="58">
        <v>9</v>
      </c>
      <c r="E39" s="60">
        <v>9</v>
      </c>
      <c r="F39" s="119"/>
    </row>
    <row r="40" spans="2:6">
      <c r="B40" s="79">
        <v>4</v>
      </c>
      <c r="C40" s="80" t="s">
        <v>145</v>
      </c>
      <c r="D40" s="79" t="s">
        <v>11</v>
      </c>
      <c r="E40" s="81">
        <v>1</v>
      </c>
      <c r="F40" s="82" t="s">
        <v>194</v>
      </c>
    </row>
    <row r="41" spans="2:6">
      <c r="B41" s="44">
        <v>5</v>
      </c>
      <c r="C41" s="45" t="s">
        <v>146</v>
      </c>
      <c r="D41" s="44" t="s">
        <v>11</v>
      </c>
      <c r="E41" s="46">
        <v>4</v>
      </c>
      <c r="F41" s="54" t="s">
        <v>147</v>
      </c>
    </row>
    <row r="42" spans="2:6">
      <c r="B42" s="58">
        <v>6</v>
      </c>
      <c r="C42" s="59" t="s">
        <v>179</v>
      </c>
      <c r="D42" s="58" t="s">
        <v>11</v>
      </c>
      <c r="E42" s="60">
        <v>1</v>
      </c>
      <c r="F42" s="54" t="s">
        <v>180</v>
      </c>
    </row>
    <row r="43" spans="2:6">
      <c r="B43" s="58">
        <v>7</v>
      </c>
      <c r="C43" s="59" t="s">
        <v>181</v>
      </c>
      <c r="D43" s="58" t="s">
        <v>11</v>
      </c>
      <c r="E43" s="60">
        <v>20</v>
      </c>
      <c r="F43" s="54" t="s">
        <v>182</v>
      </c>
    </row>
    <row r="44" spans="2:6">
      <c r="B44" s="58">
        <v>8</v>
      </c>
      <c r="C44" s="59" t="s">
        <v>183</v>
      </c>
      <c r="D44" s="58" t="s">
        <v>322</v>
      </c>
      <c r="E44" s="60">
        <v>80</v>
      </c>
      <c r="F44" s="54" t="s">
        <v>184</v>
      </c>
    </row>
    <row r="45" spans="2:6">
      <c r="B45" s="58">
        <v>9</v>
      </c>
      <c r="C45" s="45" t="s">
        <v>185</v>
      </c>
      <c r="D45" s="44" t="s">
        <v>11</v>
      </c>
      <c r="E45" s="46">
        <v>1</v>
      </c>
      <c r="F45" s="54" t="s">
        <v>186</v>
      </c>
    </row>
    <row r="46" spans="2:6">
      <c r="B46" s="58">
        <v>10</v>
      </c>
      <c r="C46" s="45" t="s">
        <v>153</v>
      </c>
      <c r="D46" s="44">
        <v>9</v>
      </c>
      <c r="E46" s="46">
        <v>9</v>
      </c>
      <c r="F46" s="54" t="s">
        <v>187</v>
      </c>
    </row>
    <row r="47" spans="2:6">
      <c r="B47" s="58">
        <v>11</v>
      </c>
      <c r="C47" s="45" t="s">
        <v>155</v>
      </c>
      <c r="D47" s="44" t="s">
        <v>11</v>
      </c>
      <c r="E47" s="46">
        <v>1</v>
      </c>
      <c r="F47" s="54"/>
    </row>
    <row r="48" spans="2:6">
      <c r="B48" s="58">
        <v>12</v>
      </c>
      <c r="C48" s="45" t="s">
        <v>188</v>
      </c>
      <c r="D48" s="44" t="s">
        <v>11</v>
      </c>
      <c r="E48" s="46">
        <v>1</v>
      </c>
      <c r="F48" s="54" t="s">
        <v>186</v>
      </c>
    </row>
    <row r="49" spans="2:6">
      <c r="B49" s="58">
        <v>13</v>
      </c>
      <c r="C49" s="45" t="s">
        <v>157</v>
      </c>
      <c r="D49" s="44">
        <v>9</v>
      </c>
      <c r="E49" s="46">
        <v>9</v>
      </c>
      <c r="F49" s="54" t="s">
        <v>187</v>
      </c>
    </row>
    <row r="50" spans="2:6">
      <c r="B50" s="58">
        <v>14</v>
      </c>
      <c r="C50" s="45" t="s">
        <v>159</v>
      </c>
      <c r="D50" s="44" t="s">
        <v>11</v>
      </c>
      <c r="E50" s="46">
        <v>1</v>
      </c>
      <c r="F50" s="54"/>
    </row>
    <row r="51" spans="2:6">
      <c r="B51" s="58">
        <v>15</v>
      </c>
      <c r="C51" s="45" t="s">
        <v>189</v>
      </c>
      <c r="D51" s="44" t="s">
        <v>11</v>
      </c>
      <c r="E51" s="46">
        <v>1</v>
      </c>
      <c r="F51" s="54" t="s">
        <v>186</v>
      </c>
    </row>
    <row r="52" spans="2:6">
      <c r="B52" s="58">
        <v>16</v>
      </c>
      <c r="C52" s="45" t="s">
        <v>161</v>
      </c>
      <c r="D52" s="44">
        <v>9</v>
      </c>
      <c r="E52" s="46">
        <v>9</v>
      </c>
      <c r="F52" s="54" t="s">
        <v>187</v>
      </c>
    </row>
    <row r="53" spans="2:6">
      <c r="B53" s="58">
        <v>17</v>
      </c>
      <c r="C53" s="45" t="s">
        <v>163</v>
      </c>
      <c r="D53" s="44" t="s">
        <v>11</v>
      </c>
      <c r="E53" s="46">
        <v>1</v>
      </c>
      <c r="F53" s="54"/>
    </row>
    <row r="54" spans="2:6">
      <c r="B54" s="58">
        <v>18</v>
      </c>
      <c r="C54" s="45" t="s">
        <v>190</v>
      </c>
      <c r="D54" s="44" t="s">
        <v>11</v>
      </c>
      <c r="E54" s="46">
        <v>1</v>
      </c>
      <c r="F54" s="54" t="s">
        <v>186</v>
      </c>
    </row>
    <row r="55" spans="2:6">
      <c r="B55" s="58">
        <v>19</v>
      </c>
      <c r="C55" s="45" t="s">
        <v>164</v>
      </c>
      <c r="D55" s="44">
        <v>9</v>
      </c>
      <c r="E55" s="46">
        <v>9</v>
      </c>
      <c r="F55" s="54" t="s">
        <v>187</v>
      </c>
    </row>
    <row r="56" spans="2:6">
      <c r="B56" s="58">
        <v>20</v>
      </c>
      <c r="C56" s="45" t="s">
        <v>166</v>
      </c>
      <c r="D56" s="44" t="s">
        <v>11</v>
      </c>
      <c r="E56" s="46">
        <v>1</v>
      </c>
      <c r="F56" s="54"/>
    </row>
    <row r="57" spans="2:6">
      <c r="B57" s="58">
        <v>21</v>
      </c>
      <c r="C57" s="45" t="s">
        <v>191</v>
      </c>
      <c r="D57" s="44" t="s">
        <v>11</v>
      </c>
      <c r="E57" s="46">
        <v>1</v>
      </c>
      <c r="F57" s="54" t="s">
        <v>186</v>
      </c>
    </row>
    <row r="58" spans="2:6">
      <c r="B58" s="58">
        <v>22</v>
      </c>
      <c r="C58" s="45" t="s">
        <v>167</v>
      </c>
      <c r="D58" s="44">
        <v>9</v>
      </c>
      <c r="E58" s="46">
        <v>9</v>
      </c>
      <c r="F58" s="54" t="s">
        <v>187</v>
      </c>
    </row>
    <row r="59" spans="2:6">
      <c r="B59" s="58">
        <v>23</v>
      </c>
      <c r="C59" s="45" t="s">
        <v>170</v>
      </c>
      <c r="D59" s="44" t="s">
        <v>11</v>
      </c>
      <c r="E59" s="46">
        <v>1</v>
      </c>
      <c r="F59" s="54"/>
    </row>
    <row r="60" spans="2:6">
      <c r="B60" s="61">
        <v>24</v>
      </c>
      <c r="C60" s="62" t="s">
        <v>172</v>
      </c>
      <c r="D60" s="63" t="s">
        <v>192</v>
      </c>
      <c r="E60" s="71">
        <v>2</v>
      </c>
      <c r="F60" s="74" t="s">
        <v>193</v>
      </c>
    </row>
    <row r="61" spans="2:6">
      <c r="B61" s="64">
        <v>25</v>
      </c>
      <c r="C61" s="65" t="s">
        <v>3</v>
      </c>
      <c r="D61" s="66" t="s">
        <v>322</v>
      </c>
      <c r="E61" s="72">
        <v>60</v>
      </c>
      <c r="F61" s="75"/>
    </row>
    <row r="62" spans="2:6">
      <c r="B62" s="67">
        <v>26</v>
      </c>
      <c r="C62" s="68" t="s">
        <v>149</v>
      </c>
      <c r="D62" s="67" t="s">
        <v>150</v>
      </c>
      <c r="E62" s="69">
        <v>10</v>
      </c>
      <c r="F62" s="76"/>
    </row>
    <row r="63" spans="2:6">
      <c r="B63" s="50"/>
      <c r="C63" s="51"/>
      <c r="D63" s="50"/>
      <c r="E63" s="52">
        <f>SUM(E37:E62)</f>
        <v>256</v>
      </c>
      <c r="F63" s="70"/>
    </row>
    <row r="64" spans="2:6" ht="14.25" thickBot="1"/>
    <row r="65" spans="2:6" ht="14.25" thickBot="1">
      <c r="B65" s="7" t="s">
        <v>2</v>
      </c>
      <c r="C65" s="8" t="s">
        <v>3</v>
      </c>
      <c r="D65" s="8" t="s">
        <v>4</v>
      </c>
      <c r="E65" s="102" t="s">
        <v>311</v>
      </c>
      <c r="F65" s="8" t="s">
        <v>6</v>
      </c>
    </row>
    <row r="66" spans="2:6" ht="14.25" thickTop="1">
      <c r="B66" s="105">
        <v>1</v>
      </c>
      <c r="C66" s="106" t="s">
        <v>82</v>
      </c>
      <c r="D66" s="107" t="s">
        <v>8</v>
      </c>
      <c r="E66" s="108">
        <v>8</v>
      </c>
      <c r="F66" s="117"/>
    </row>
    <row r="67" spans="2:6" ht="14.25" thickBot="1">
      <c r="B67" s="109">
        <v>2</v>
      </c>
      <c r="C67" s="110" t="s">
        <v>84</v>
      </c>
      <c r="D67" s="111" t="s">
        <v>11</v>
      </c>
      <c r="E67" s="112">
        <v>6</v>
      </c>
      <c r="F67" s="118"/>
    </row>
    <row r="68" spans="2:6" ht="14.25" thickTop="1">
      <c r="B68" s="58">
        <v>3</v>
      </c>
      <c r="C68" s="59" t="s">
        <v>137</v>
      </c>
      <c r="D68" s="58">
        <v>9</v>
      </c>
      <c r="E68" s="60">
        <v>9</v>
      </c>
      <c r="F68" s="119"/>
    </row>
    <row r="69" spans="2:6">
      <c r="B69" s="79">
        <v>4</v>
      </c>
      <c r="C69" s="80" t="s">
        <v>145</v>
      </c>
      <c r="D69" s="79" t="s">
        <v>11</v>
      </c>
      <c r="E69" s="81">
        <v>1</v>
      </c>
      <c r="F69" s="82" t="s">
        <v>198</v>
      </c>
    </row>
    <row r="70" spans="2:6">
      <c r="B70" s="44">
        <v>5</v>
      </c>
      <c r="C70" s="45" t="s">
        <v>146</v>
      </c>
      <c r="D70" s="44" t="s">
        <v>11</v>
      </c>
      <c r="E70" s="46">
        <v>4</v>
      </c>
      <c r="F70" s="54" t="s">
        <v>147</v>
      </c>
    </row>
    <row r="71" spans="2:6">
      <c r="B71" s="44">
        <v>6</v>
      </c>
      <c r="C71" s="45" t="s">
        <v>195</v>
      </c>
      <c r="D71" s="44" t="s">
        <v>322</v>
      </c>
      <c r="E71" s="46">
        <v>100</v>
      </c>
      <c r="F71" s="55" t="s">
        <v>196</v>
      </c>
    </row>
    <row r="72" spans="2:6">
      <c r="B72" s="44">
        <v>7</v>
      </c>
      <c r="C72" s="45" t="s">
        <v>197</v>
      </c>
      <c r="D72" s="44" t="s">
        <v>322</v>
      </c>
      <c r="E72" s="46">
        <v>100</v>
      </c>
      <c r="F72" s="54"/>
    </row>
    <row r="73" spans="2:6">
      <c r="B73" s="19">
        <v>8</v>
      </c>
      <c r="C73" s="20" t="s">
        <v>149</v>
      </c>
      <c r="D73" s="19" t="s">
        <v>150</v>
      </c>
      <c r="E73" s="57">
        <v>28</v>
      </c>
      <c r="F73" s="73"/>
    </row>
    <row r="74" spans="2:6">
      <c r="B74" s="50"/>
      <c r="C74" s="51"/>
      <c r="D74" s="50"/>
      <c r="E74" s="52">
        <f>SUM(E66:E73)</f>
        <v>256</v>
      </c>
      <c r="F74" s="51"/>
    </row>
  </sheetData>
  <mergeCells count="1">
    <mergeCell ref="B1:F2"/>
  </mergeCells>
  <phoneticPr fontId="4"/>
  <pageMargins left="0.39370078740157483" right="0.39370078740157483" top="0.19685039370078741" bottom="0.31496062992125984" header="0.51181102362204722" footer="0.31496062992125984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showGridLines="0" zoomScaleNormal="100" zoomScaleSheetLayoutView="100" workbookViewId="0"/>
  </sheetViews>
  <sheetFormatPr defaultColWidth="9" defaultRowHeight="13.5"/>
  <cols>
    <col min="1" max="1" width="2.75" style="23" customWidth="1"/>
    <col min="2" max="2" width="4.75" style="23" customWidth="1"/>
    <col min="3" max="3" width="18.5" style="23" customWidth="1"/>
    <col min="4" max="4" width="5.625" style="43" customWidth="1"/>
    <col min="5" max="5" width="5.625" style="28" customWidth="1"/>
    <col min="6" max="6" width="54.375" style="23" customWidth="1"/>
    <col min="7" max="7" width="3.25" style="23" customWidth="1"/>
    <col min="8" max="16384" width="9" style="23"/>
  </cols>
  <sheetData>
    <row r="1" spans="1:6" ht="14.25">
      <c r="A1" s="1"/>
      <c r="B1" s="135" t="s">
        <v>199</v>
      </c>
      <c r="C1" s="135"/>
      <c r="D1" s="135"/>
      <c r="E1" s="135"/>
      <c r="F1" s="135"/>
    </row>
    <row r="2" spans="1:6" ht="14.25">
      <c r="A2" s="1"/>
      <c r="B2" s="135"/>
      <c r="C2" s="135"/>
      <c r="D2" s="135"/>
      <c r="E2" s="135"/>
      <c r="F2" s="135"/>
    </row>
    <row r="3" spans="1:6">
      <c r="A3" s="24"/>
      <c r="B3" s="25"/>
      <c r="D3" s="26"/>
      <c r="E3" s="27"/>
    </row>
    <row r="4" spans="1:6" ht="14.25" thickBot="1">
      <c r="B4" s="23" t="s">
        <v>200</v>
      </c>
      <c r="D4" s="23"/>
      <c r="F4" s="133" t="s">
        <v>326</v>
      </c>
    </row>
    <row r="5" spans="1:6" ht="14.25" thickBot="1">
      <c r="B5" s="7" t="s">
        <v>2</v>
      </c>
      <c r="C5" s="8" t="s">
        <v>3</v>
      </c>
      <c r="D5" s="8" t="s">
        <v>4</v>
      </c>
      <c r="E5" s="102" t="s">
        <v>311</v>
      </c>
      <c r="F5" s="8" t="s">
        <v>6</v>
      </c>
    </row>
    <row r="6" spans="1:6" ht="14.25" thickTop="1">
      <c r="B6" s="105">
        <v>1</v>
      </c>
      <c r="C6" s="106" t="s">
        <v>82</v>
      </c>
      <c r="D6" s="107" t="s">
        <v>8</v>
      </c>
      <c r="E6" s="108">
        <v>8</v>
      </c>
      <c r="F6" s="117"/>
    </row>
    <row r="7" spans="1:6" ht="14.25" thickBot="1">
      <c r="B7" s="109">
        <v>2</v>
      </c>
      <c r="C7" s="110" t="s">
        <v>84</v>
      </c>
      <c r="D7" s="111" t="s">
        <v>11</v>
      </c>
      <c r="E7" s="112">
        <v>6</v>
      </c>
      <c r="F7" s="118"/>
    </row>
    <row r="8" spans="1:6" ht="14.25" thickTop="1">
      <c r="B8" s="9">
        <v>3</v>
      </c>
      <c r="C8" s="10" t="s">
        <v>137</v>
      </c>
      <c r="D8" s="9">
        <v>9</v>
      </c>
      <c r="E8" s="17">
        <v>9</v>
      </c>
      <c r="F8" s="53"/>
    </row>
    <row r="9" spans="1:6">
      <c r="B9" s="79">
        <v>4</v>
      </c>
      <c r="C9" s="80" t="s">
        <v>145</v>
      </c>
      <c r="D9" s="79" t="s">
        <v>11</v>
      </c>
      <c r="E9" s="81">
        <v>1</v>
      </c>
      <c r="F9" s="82" t="s">
        <v>151</v>
      </c>
    </row>
    <row r="10" spans="1:6">
      <c r="B10" s="44">
        <v>5</v>
      </c>
      <c r="C10" s="45" t="s">
        <v>146</v>
      </c>
      <c r="D10" s="44" t="s">
        <v>11</v>
      </c>
      <c r="E10" s="46">
        <v>4</v>
      </c>
      <c r="F10" s="54" t="s">
        <v>147</v>
      </c>
    </row>
    <row r="11" spans="1:6">
      <c r="B11" s="44">
        <v>6</v>
      </c>
      <c r="C11" s="45" t="s">
        <v>139</v>
      </c>
      <c r="D11" s="44" t="s">
        <v>322</v>
      </c>
      <c r="E11" s="46">
        <v>120</v>
      </c>
      <c r="F11" s="55" t="s">
        <v>143</v>
      </c>
    </row>
    <row r="12" spans="1:6">
      <c r="B12" s="47">
        <v>7</v>
      </c>
      <c r="C12" s="48" t="s">
        <v>149</v>
      </c>
      <c r="D12" s="47" t="s">
        <v>150</v>
      </c>
      <c r="E12" s="49">
        <v>108</v>
      </c>
      <c r="F12" s="56"/>
    </row>
    <row r="13" spans="1:6">
      <c r="B13" s="50"/>
      <c r="C13" s="51"/>
      <c r="D13" s="50"/>
      <c r="E13" s="52">
        <f>SUM(E6:E12)</f>
        <v>256</v>
      </c>
      <c r="F13" s="51"/>
    </row>
    <row r="14" spans="1:6" ht="14.25" thickBot="1"/>
    <row r="15" spans="1:6" ht="14.25" thickBot="1">
      <c r="B15" s="7" t="s">
        <v>2</v>
      </c>
      <c r="C15" s="8" t="s">
        <v>3</v>
      </c>
      <c r="D15" s="8" t="s">
        <v>4</v>
      </c>
      <c r="E15" s="102" t="s">
        <v>311</v>
      </c>
      <c r="F15" s="8" t="s">
        <v>6</v>
      </c>
    </row>
    <row r="16" spans="1:6" ht="14.25" thickTop="1">
      <c r="B16" s="105">
        <v>1</v>
      </c>
      <c r="C16" s="106" t="s">
        <v>82</v>
      </c>
      <c r="D16" s="107" t="s">
        <v>8</v>
      </c>
      <c r="E16" s="108">
        <v>8</v>
      </c>
      <c r="F16" s="117"/>
    </row>
    <row r="17" spans="2:6" ht="14.25" thickBot="1">
      <c r="B17" s="109">
        <v>2</v>
      </c>
      <c r="C17" s="110" t="s">
        <v>84</v>
      </c>
      <c r="D17" s="111" t="s">
        <v>11</v>
      </c>
      <c r="E17" s="112">
        <v>6</v>
      </c>
      <c r="F17" s="118"/>
    </row>
    <row r="18" spans="2:6" ht="14.25" thickTop="1">
      <c r="B18" s="44">
        <v>3</v>
      </c>
      <c r="C18" s="45" t="s">
        <v>140</v>
      </c>
      <c r="D18" s="44">
        <v>9</v>
      </c>
      <c r="E18" s="46">
        <v>9</v>
      </c>
      <c r="F18" s="54"/>
    </row>
    <row r="19" spans="2:6">
      <c r="B19" s="79">
        <v>4</v>
      </c>
      <c r="C19" s="80" t="s">
        <v>138</v>
      </c>
      <c r="D19" s="79" t="s">
        <v>8</v>
      </c>
      <c r="E19" s="81">
        <v>1</v>
      </c>
      <c r="F19" s="82" t="s">
        <v>206</v>
      </c>
    </row>
    <row r="20" spans="2:6">
      <c r="B20" s="44">
        <v>5</v>
      </c>
      <c r="C20" s="45" t="s">
        <v>141</v>
      </c>
      <c r="D20" s="44" t="s">
        <v>8</v>
      </c>
      <c r="E20" s="46">
        <v>4</v>
      </c>
      <c r="F20" s="54" t="s">
        <v>142</v>
      </c>
    </row>
    <row r="21" spans="2:6">
      <c r="B21" s="44">
        <v>6</v>
      </c>
      <c r="C21" s="45" t="s">
        <v>152</v>
      </c>
      <c r="D21" s="44" t="s">
        <v>322</v>
      </c>
      <c r="E21" s="46">
        <v>20</v>
      </c>
      <c r="F21" s="54" t="s">
        <v>201</v>
      </c>
    </row>
    <row r="22" spans="2:6">
      <c r="B22" s="44">
        <v>7</v>
      </c>
      <c r="C22" s="45" t="s">
        <v>202</v>
      </c>
      <c r="D22" s="44" t="s">
        <v>8</v>
      </c>
      <c r="E22" s="46">
        <v>1</v>
      </c>
      <c r="F22" s="54"/>
    </row>
    <row r="23" spans="2:6">
      <c r="B23" s="9">
        <v>8</v>
      </c>
      <c r="C23" s="10" t="s">
        <v>156</v>
      </c>
      <c r="D23" s="9" t="s">
        <v>322</v>
      </c>
      <c r="E23" s="17">
        <v>20</v>
      </c>
      <c r="F23" s="53" t="s">
        <v>203</v>
      </c>
    </row>
    <row r="24" spans="2:6">
      <c r="B24" s="9">
        <v>9</v>
      </c>
      <c r="C24" s="10" t="s">
        <v>204</v>
      </c>
      <c r="D24" s="9" t="s">
        <v>8</v>
      </c>
      <c r="E24" s="17">
        <v>1</v>
      </c>
      <c r="F24" s="53"/>
    </row>
    <row r="25" spans="2:6">
      <c r="B25" s="9">
        <v>10</v>
      </c>
      <c r="C25" s="10" t="s">
        <v>160</v>
      </c>
      <c r="D25" s="9" t="s">
        <v>322</v>
      </c>
      <c r="E25" s="17">
        <v>20</v>
      </c>
      <c r="F25" s="53" t="s">
        <v>168</v>
      </c>
    </row>
    <row r="26" spans="2:6">
      <c r="B26" s="9">
        <v>11</v>
      </c>
      <c r="C26" s="10" t="s">
        <v>205</v>
      </c>
      <c r="D26" s="9" t="s">
        <v>8</v>
      </c>
      <c r="E26" s="17">
        <v>1</v>
      </c>
      <c r="F26" s="53"/>
    </row>
    <row r="27" spans="2:6">
      <c r="B27" s="9">
        <v>12</v>
      </c>
      <c r="C27" s="10" t="s">
        <v>171</v>
      </c>
      <c r="D27" s="9" t="s">
        <v>322</v>
      </c>
      <c r="E27" s="17">
        <v>4</v>
      </c>
      <c r="F27" s="53" t="s">
        <v>173</v>
      </c>
    </row>
    <row r="28" spans="2:6">
      <c r="B28" s="9">
        <v>13</v>
      </c>
      <c r="C28" s="10" t="s">
        <v>175</v>
      </c>
      <c r="D28" s="9" t="s">
        <v>322</v>
      </c>
      <c r="E28" s="17">
        <v>20</v>
      </c>
      <c r="F28" s="53" t="s">
        <v>176</v>
      </c>
    </row>
    <row r="29" spans="2:6">
      <c r="B29" s="9">
        <v>14</v>
      </c>
      <c r="C29" s="10" t="s">
        <v>144</v>
      </c>
      <c r="D29" s="9" t="s">
        <v>8</v>
      </c>
      <c r="E29" s="17">
        <v>141</v>
      </c>
      <c r="F29" s="78"/>
    </row>
    <row r="30" spans="2:6">
      <c r="E30" s="52">
        <f>SUM(E16:E29)</f>
        <v>256</v>
      </c>
    </row>
    <row r="31" spans="2:6" ht="14.25" thickBot="1"/>
    <row r="32" spans="2:6" ht="14.25" thickBot="1">
      <c r="B32" s="7" t="s">
        <v>2</v>
      </c>
      <c r="C32" s="8" t="s">
        <v>3</v>
      </c>
      <c r="D32" s="8" t="s">
        <v>4</v>
      </c>
      <c r="E32" s="102" t="s">
        <v>311</v>
      </c>
      <c r="F32" s="8" t="s">
        <v>6</v>
      </c>
    </row>
    <row r="33" spans="2:6" ht="14.25" thickTop="1">
      <c r="B33" s="105">
        <v>1</v>
      </c>
      <c r="C33" s="106" t="s">
        <v>82</v>
      </c>
      <c r="D33" s="107" t="s">
        <v>8</v>
      </c>
      <c r="E33" s="108">
        <v>8</v>
      </c>
      <c r="F33" s="117"/>
    </row>
    <row r="34" spans="2:6" ht="14.25" thickBot="1">
      <c r="B34" s="109">
        <v>2</v>
      </c>
      <c r="C34" s="110" t="s">
        <v>84</v>
      </c>
      <c r="D34" s="111" t="s">
        <v>11</v>
      </c>
      <c r="E34" s="112">
        <v>6</v>
      </c>
      <c r="F34" s="118"/>
    </row>
    <row r="35" spans="2:6" ht="14.25" thickTop="1">
      <c r="B35" s="44">
        <v>3</v>
      </c>
      <c r="C35" s="45" t="s">
        <v>137</v>
      </c>
      <c r="D35" s="44">
        <v>9</v>
      </c>
      <c r="E35" s="46">
        <v>9</v>
      </c>
      <c r="F35" s="54"/>
    </row>
    <row r="36" spans="2:6">
      <c r="B36" s="79">
        <v>4</v>
      </c>
      <c r="C36" s="80" t="s">
        <v>145</v>
      </c>
      <c r="D36" s="79" t="s">
        <v>11</v>
      </c>
      <c r="E36" s="81">
        <v>1</v>
      </c>
      <c r="F36" s="82" t="s">
        <v>194</v>
      </c>
    </row>
    <row r="37" spans="2:6">
      <c r="B37" s="44">
        <v>5</v>
      </c>
      <c r="C37" s="45" t="s">
        <v>146</v>
      </c>
      <c r="D37" s="44" t="s">
        <v>11</v>
      </c>
      <c r="E37" s="46">
        <v>4</v>
      </c>
      <c r="F37" s="54" t="s">
        <v>147</v>
      </c>
    </row>
    <row r="38" spans="2:6">
      <c r="B38" s="9">
        <v>6</v>
      </c>
      <c r="C38" s="59" t="s">
        <v>179</v>
      </c>
      <c r="D38" s="58" t="s">
        <v>11</v>
      </c>
      <c r="E38" s="60">
        <v>1</v>
      </c>
      <c r="F38" s="54" t="s">
        <v>180</v>
      </c>
    </row>
    <row r="39" spans="2:6">
      <c r="B39" s="44">
        <v>7</v>
      </c>
      <c r="C39" s="45" t="s">
        <v>181</v>
      </c>
      <c r="D39" s="44" t="s">
        <v>11</v>
      </c>
      <c r="E39" s="46">
        <v>20</v>
      </c>
      <c r="F39" s="54" t="s">
        <v>182</v>
      </c>
    </row>
    <row r="40" spans="2:6">
      <c r="B40" s="44">
        <v>8</v>
      </c>
      <c r="C40" s="45" t="s">
        <v>183</v>
      </c>
      <c r="D40" s="44" t="s">
        <v>322</v>
      </c>
      <c r="E40" s="46">
        <v>80</v>
      </c>
      <c r="F40" s="54" t="s">
        <v>184</v>
      </c>
    </row>
    <row r="41" spans="2:6">
      <c r="B41" s="44">
        <v>9</v>
      </c>
      <c r="C41" s="45" t="s">
        <v>185</v>
      </c>
      <c r="D41" s="44" t="s">
        <v>207</v>
      </c>
      <c r="E41" s="46">
        <v>1</v>
      </c>
      <c r="F41" s="54" t="s">
        <v>186</v>
      </c>
    </row>
    <row r="42" spans="2:6">
      <c r="B42" s="44">
        <v>10</v>
      </c>
      <c r="C42" s="45" t="s">
        <v>153</v>
      </c>
      <c r="D42" s="44">
        <v>9</v>
      </c>
      <c r="E42" s="46">
        <v>9</v>
      </c>
      <c r="F42" s="54" t="s">
        <v>208</v>
      </c>
    </row>
    <row r="43" spans="2:6">
      <c r="B43" s="44">
        <v>11</v>
      </c>
      <c r="C43" s="45" t="s">
        <v>209</v>
      </c>
      <c r="D43" s="44" t="s">
        <v>210</v>
      </c>
      <c r="E43" s="46">
        <v>1</v>
      </c>
      <c r="F43" s="54"/>
    </row>
    <row r="44" spans="2:6">
      <c r="B44" s="44">
        <v>12</v>
      </c>
      <c r="C44" s="45" t="s">
        <v>188</v>
      </c>
      <c r="D44" s="44" t="s">
        <v>211</v>
      </c>
      <c r="E44" s="46">
        <v>1</v>
      </c>
      <c r="F44" s="54" t="s">
        <v>186</v>
      </c>
    </row>
    <row r="45" spans="2:6">
      <c r="B45" s="44">
        <v>13</v>
      </c>
      <c r="C45" s="45" t="s">
        <v>157</v>
      </c>
      <c r="D45" s="44">
        <v>9</v>
      </c>
      <c r="E45" s="46">
        <v>9</v>
      </c>
      <c r="F45" s="54" t="s">
        <v>212</v>
      </c>
    </row>
    <row r="46" spans="2:6">
      <c r="B46" s="44">
        <v>14</v>
      </c>
      <c r="C46" s="45" t="s">
        <v>213</v>
      </c>
      <c r="D46" s="44" t="s">
        <v>214</v>
      </c>
      <c r="E46" s="46">
        <v>1</v>
      </c>
      <c r="F46" s="54"/>
    </row>
    <row r="47" spans="2:6">
      <c r="B47" s="44">
        <v>15</v>
      </c>
      <c r="C47" s="45" t="s">
        <v>189</v>
      </c>
      <c r="D47" s="44" t="s">
        <v>215</v>
      </c>
      <c r="E47" s="46">
        <v>1</v>
      </c>
      <c r="F47" s="54" t="s">
        <v>186</v>
      </c>
    </row>
    <row r="48" spans="2:6">
      <c r="B48" s="44">
        <v>16</v>
      </c>
      <c r="C48" s="45" t="s">
        <v>161</v>
      </c>
      <c r="D48" s="44">
        <v>9</v>
      </c>
      <c r="E48" s="46">
        <v>9</v>
      </c>
      <c r="F48" s="54" t="s">
        <v>208</v>
      </c>
    </row>
    <row r="49" spans="2:6">
      <c r="B49" s="44">
        <v>17</v>
      </c>
      <c r="C49" s="45" t="s">
        <v>216</v>
      </c>
      <c r="D49" s="44" t="s">
        <v>215</v>
      </c>
      <c r="E49" s="46">
        <v>1</v>
      </c>
      <c r="F49" s="54"/>
    </row>
    <row r="50" spans="2:6">
      <c r="B50" s="9">
        <v>18</v>
      </c>
      <c r="C50" s="45" t="s">
        <v>172</v>
      </c>
      <c r="D50" s="44" t="s">
        <v>215</v>
      </c>
      <c r="E50" s="46">
        <v>2</v>
      </c>
      <c r="F50" s="77" t="s">
        <v>193</v>
      </c>
    </row>
    <row r="51" spans="2:6">
      <c r="B51" s="44">
        <v>19</v>
      </c>
      <c r="C51" s="45" t="s">
        <v>3</v>
      </c>
      <c r="D51" s="44" t="s">
        <v>322</v>
      </c>
      <c r="E51" s="46">
        <v>80</v>
      </c>
      <c r="F51" s="54"/>
    </row>
    <row r="52" spans="2:6">
      <c r="B52" s="19">
        <v>20</v>
      </c>
      <c r="C52" s="20" t="s">
        <v>149</v>
      </c>
      <c r="D52" s="19" t="s">
        <v>217</v>
      </c>
      <c r="E52" s="57">
        <v>12</v>
      </c>
      <c r="F52" s="73"/>
    </row>
    <row r="53" spans="2:6">
      <c r="B53" s="50"/>
      <c r="C53" s="51"/>
      <c r="D53" s="50"/>
      <c r="E53" s="52">
        <f>SUM(E33:E52)</f>
        <v>256</v>
      </c>
      <c r="F53" s="70"/>
    </row>
    <row r="54" spans="2:6" ht="14.25" thickBot="1"/>
    <row r="55" spans="2:6" ht="14.25" thickBot="1">
      <c r="B55" s="7" t="s">
        <v>2</v>
      </c>
      <c r="C55" s="8" t="s">
        <v>3</v>
      </c>
      <c r="D55" s="8" t="s">
        <v>4</v>
      </c>
      <c r="E55" s="102" t="s">
        <v>311</v>
      </c>
      <c r="F55" s="8" t="s">
        <v>6</v>
      </c>
    </row>
    <row r="56" spans="2:6" ht="14.25" thickTop="1">
      <c r="B56" s="105">
        <v>1</v>
      </c>
      <c r="C56" s="106" t="s">
        <v>82</v>
      </c>
      <c r="D56" s="107" t="s">
        <v>8</v>
      </c>
      <c r="E56" s="108">
        <v>8</v>
      </c>
      <c r="F56" s="117"/>
    </row>
    <row r="57" spans="2:6" ht="14.25" thickBot="1">
      <c r="B57" s="109">
        <v>2</v>
      </c>
      <c r="C57" s="110" t="s">
        <v>84</v>
      </c>
      <c r="D57" s="111" t="s">
        <v>11</v>
      </c>
      <c r="E57" s="112">
        <v>6</v>
      </c>
      <c r="F57" s="118"/>
    </row>
    <row r="58" spans="2:6" ht="14.25" thickTop="1">
      <c r="B58" s="44">
        <v>3</v>
      </c>
      <c r="C58" s="45" t="s">
        <v>137</v>
      </c>
      <c r="D58" s="44">
        <v>9</v>
      </c>
      <c r="E58" s="46">
        <v>9</v>
      </c>
      <c r="F58" s="54"/>
    </row>
    <row r="59" spans="2:6">
      <c r="B59" s="79">
        <v>4</v>
      </c>
      <c r="C59" s="80" t="s">
        <v>145</v>
      </c>
      <c r="D59" s="79" t="s">
        <v>11</v>
      </c>
      <c r="E59" s="81">
        <v>1</v>
      </c>
      <c r="F59" s="82" t="s">
        <v>198</v>
      </c>
    </row>
    <row r="60" spans="2:6">
      <c r="B60" s="44">
        <v>5</v>
      </c>
      <c r="C60" s="45" t="s">
        <v>146</v>
      </c>
      <c r="D60" s="44" t="s">
        <v>11</v>
      </c>
      <c r="E60" s="46">
        <v>4</v>
      </c>
      <c r="F60" s="54" t="s">
        <v>147</v>
      </c>
    </row>
    <row r="61" spans="2:6">
      <c r="B61" s="44">
        <v>6</v>
      </c>
      <c r="C61" s="45" t="s">
        <v>195</v>
      </c>
      <c r="D61" s="44" t="s">
        <v>322</v>
      </c>
      <c r="E61" s="46">
        <v>100</v>
      </c>
      <c r="F61" s="55" t="s">
        <v>196</v>
      </c>
    </row>
    <row r="62" spans="2:6">
      <c r="B62" s="44">
        <v>7</v>
      </c>
      <c r="C62" s="45" t="s">
        <v>197</v>
      </c>
      <c r="D62" s="44" t="s">
        <v>322</v>
      </c>
      <c r="E62" s="46">
        <v>100</v>
      </c>
      <c r="F62" s="54"/>
    </row>
    <row r="63" spans="2:6">
      <c r="B63" s="47">
        <v>8</v>
      </c>
      <c r="C63" s="48" t="s">
        <v>149</v>
      </c>
      <c r="D63" s="47" t="s">
        <v>150</v>
      </c>
      <c r="E63" s="49">
        <v>28</v>
      </c>
      <c r="F63" s="56"/>
    </row>
    <row r="64" spans="2:6">
      <c r="B64" s="50"/>
      <c r="C64" s="51"/>
      <c r="D64" s="50"/>
      <c r="E64" s="52">
        <f>SUM(E56:E63)</f>
        <v>256</v>
      </c>
      <c r="F64" s="51"/>
    </row>
  </sheetData>
  <mergeCells count="1">
    <mergeCell ref="B1:F2"/>
  </mergeCells>
  <phoneticPr fontId="4"/>
  <pageMargins left="0.39370078740157483" right="0.39370078740157483" top="0.19685039370078741" bottom="0.31496062992125984" header="0.51181102362204722" footer="0.31496062992125984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showGridLines="0" zoomScaleNormal="100" zoomScaleSheetLayoutView="100" workbookViewId="0">
      <selection activeCell="A2" sqref="A2"/>
    </sheetView>
  </sheetViews>
  <sheetFormatPr defaultColWidth="9" defaultRowHeight="13.5"/>
  <cols>
    <col min="1" max="1" width="2.75" style="23" customWidth="1"/>
    <col min="2" max="2" width="4.75" style="23" customWidth="1"/>
    <col min="3" max="3" width="18.5" style="23" customWidth="1"/>
    <col min="4" max="4" width="5.625" style="43" customWidth="1"/>
    <col min="5" max="5" width="5.625" style="28" customWidth="1"/>
    <col min="6" max="6" width="54.375" style="23" customWidth="1"/>
    <col min="7" max="7" width="3.25" style="23" customWidth="1"/>
    <col min="8" max="16384" width="9" style="23"/>
  </cols>
  <sheetData>
    <row r="1" spans="1:6" ht="14.25">
      <c r="A1" s="1"/>
      <c r="B1" s="135" t="s">
        <v>218</v>
      </c>
      <c r="C1" s="135"/>
      <c r="D1" s="135"/>
      <c r="E1" s="135"/>
      <c r="F1" s="135"/>
    </row>
    <row r="2" spans="1:6" ht="14.25">
      <c r="A2" s="1"/>
      <c r="B2" s="135"/>
      <c r="C2" s="135"/>
      <c r="D2" s="135"/>
      <c r="E2" s="135"/>
      <c r="F2" s="135"/>
    </row>
    <row r="3" spans="1:6">
      <c r="A3" s="24"/>
      <c r="B3" s="25"/>
      <c r="D3" s="26"/>
      <c r="E3" s="27"/>
    </row>
    <row r="4" spans="1:6" ht="14.25" thickBot="1">
      <c r="B4" s="23" t="s">
        <v>219</v>
      </c>
      <c r="D4" s="23"/>
      <c r="F4" s="133" t="s">
        <v>326</v>
      </c>
    </row>
    <row r="5" spans="1:6" ht="14.25" thickBot="1">
      <c r="B5" s="7" t="s">
        <v>2</v>
      </c>
      <c r="C5" s="8" t="s">
        <v>3</v>
      </c>
      <c r="D5" s="8" t="s">
        <v>4</v>
      </c>
      <c r="E5" s="102" t="s">
        <v>311</v>
      </c>
      <c r="F5" s="8" t="s">
        <v>6</v>
      </c>
    </row>
    <row r="6" spans="1:6" ht="14.25" thickTop="1">
      <c r="B6" s="105">
        <v>1</v>
      </c>
      <c r="C6" s="106" t="s">
        <v>82</v>
      </c>
      <c r="D6" s="107" t="s">
        <v>8</v>
      </c>
      <c r="E6" s="108">
        <v>8</v>
      </c>
      <c r="F6" s="117"/>
    </row>
    <row r="7" spans="1:6" ht="14.25" thickBot="1">
      <c r="B7" s="109">
        <v>2</v>
      </c>
      <c r="C7" s="110" t="s">
        <v>84</v>
      </c>
      <c r="D7" s="111" t="s">
        <v>11</v>
      </c>
      <c r="E7" s="112">
        <v>6</v>
      </c>
      <c r="F7" s="118"/>
    </row>
    <row r="8" spans="1:6" ht="14.25" thickTop="1">
      <c r="B8" s="9">
        <v>3</v>
      </c>
      <c r="C8" s="10" t="s">
        <v>137</v>
      </c>
      <c r="D8" s="9">
        <v>9</v>
      </c>
      <c r="E8" s="17">
        <v>9</v>
      </c>
      <c r="F8" s="53"/>
    </row>
    <row r="9" spans="1:6">
      <c r="B9" s="79">
        <v>4</v>
      </c>
      <c r="C9" s="80" t="s">
        <v>145</v>
      </c>
      <c r="D9" s="79" t="s">
        <v>11</v>
      </c>
      <c r="E9" s="81">
        <v>1</v>
      </c>
      <c r="F9" s="82" t="s">
        <v>151</v>
      </c>
    </row>
    <row r="10" spans="1:6">
      <c r="B10" s="44">
        <v>5</v>
      </c>
      <c r="C10" s="45" t="s">
        <v>146</v>
      </c>
      <c r="D10" s="44" t="s">
        <v>11</v>
      </c>
      <c r="E10" s="46">
        <v>4</v>
      </c>
      <c r="F10" s="54" t="s">
        <v>147</v>
      </c>
    </row>
    <row r="11" spans="1:6">
      <c r="B11" s="44">
        <v>6</v>
      </c>
      <c r="C11" s="45" t="s">
        <v>139</v>
      </c>
      <c r="D11" s="44" t="s">
        <v>322</v>
      </c>
      <c r="E11" s="46">
        <v>120</v>
      </c>
      <c r="F11" s="55" t="s">
        <v>220</v>
      </c>
    </row>
    <row r="12" spans="1:6">
      <c r="B12" s="47">
        <v>7</v>
      </c>
      <c r="C12" s="48" t="s">
        <v>149</v>
      </c>
      <c r="D12" s="47" t="s">
        <v>150</v>
      </c>
      <c r="E12" s="49">
        <v>108</v>
      </c>
      <c r="F12" s="56"/>
    </row>
    <row r="13" spans="1:6">
      <c r="B13" s="50"/>
      <c r="C13" s="51"/>
      <c r="D13" s="50"/>
      <c r="E13" s="52">
        <f>SUM(E6:E12)</f>
        <v>256</v>
      </c>
      <c r="F13" s="51"/>
    </row>
    <row r="14" spans="1:6" ht="14.25" thickBot="1"/>
    <row r="15" spans="1:6" ht="14.25" thickBot="1">
      <c r="B15" s="7" t="s">
        <v>2</v>
      </c>
      <c r="C15" s="8" t="s">
        <v>3</v>
      </c>
      <c r="D15" s="8" t="s">
        <v>4</v>
      </c>
      <c r="E15" s="102" t="s">
        <v>311</v>
      </c>
      <c r="F15" s="8" t="s">
        <v>6</v>
      </c>
    </row>
    <row r="16" spans="1:6" ht="14.25" thickTop="1">
      <c r="B16" s="105">
        <v>1</v>
      </c>
      <c r="C16" s="106" t="s">
        <v>82</v>
      </c>
      <c r="D16" s="107" t="s">
        <v>8</v>
      </c>
      <c r="E16" s="108">
        <v>8</v>
      </c>
      <c r="F16" s="117"/>
    </row>
    <row r="17" spans="2:6" ht="14.25" thickBot="1">
      <c r="B17" s="109">
        <v>2</v>
      </c>
      <c r="C17" s="110" t="s">
        <v>84</v>
      </c>
      <c r="D17" s="111" t="s">
        <v>11</v>
      </c>
      <c r="E17" s="112">
        <v>6</v>
      </c>
      <c r="F17" s="118"/>
    </row>
    <row r="18" spans="2:6" ht="14.25" thickTop="1">
      <c r="B18" s="44">
        <v>3</v>
      </c>
      <c r="C18" s="45" t="s">
        <v>140</v>
      </c>
      <c r="D18" s="44">
        <v>9</v>
      </c>
      <c r="E18" s="46">
        <v>9</v>
      </c>
      <c r="F18" s="54"/>
    </row>
    <row r="19" spans="2:6">
      <c r="B19" s="79">
        <v>4</v>
      </c>
      <c r="C19" s="80" t="s">
        <v>138</v>
      </c>
      <c r="D19" s="79" t="s">
        <v>8</v>
      </c>
      <c r="E19" s="81">
        <v>1</v>
      </c>
      <c r="F19" s="82" t="s">
        <v>206</v>
      </c>
    </row>
    <row r="20" spans="2:6">
      <c r="B20" s="44">
        <v>5</v>
      </c>
      <c r="C20" s="45" t="s">
        <v>141</v>
      </c>
      <c r="D20" s="44" t="s">
        <v>8</v>
      </c>
      <c r="E20" s="46">
        <v>4</v>
      </c>
      <c r="F20" s="54" t="s">
        <v>142</v>
      </c>
    </row>
    <row r="21" spans="2:6">
      <c r="B21" s="9">
        <v>6</v>
      </c>
      <c r="C21" s="10" t="s">
        <v>221</v>
      </c>
      <c r="D21" s="9" t="s">
        <v>322</v>
      </c>
      <c r="E21" s="17">
        <v>20</v>
      </c>
      <c r="F21" s="53" t="s">
        <v>222</v>
      </c>
    </row>
    <row r="22" spans="2:6">
      <c r="B22" s="9">
        <v>7</v>
      </c>
      <c r="C22" s="10" t="s">
        <v>223</v>
      </c>
      <c r="D22" s="9" t="s">
        <v>322</v>
      </c>
      <c r="E22" s="17">
        <v>20</v>
      </c>
      <c r="F22" s="53" t="s">
        <v>224</v>
      </c>
    </row>
    <row r="23" spans="2:6">
      <c r="B23" s="9">
        <v>8</v>
      </c>
      <c r="C23" s="10" t="s">
        <v>225</v>
      </c>
      <c r="D23" s="9" t="s">
        <v>322</v>
      </c>
      <c r="E23" s="17">
        <v>20</v>
      </c>
      <c r="F23" s="53" t="s">
        <v>226</v>
      </c>
    </row>
    <row r="24" spans="2:6">
      <c r="B24" s="9">
        <v>9</v>
      </c>
      <c r="C24" s="10" t="s">
        <v>227</v>
      </c>
      <c r="D24" s="9" t="s">
        <v>322</v>
      </c>
      <c r="E24" s="17">
        <v>20</v>
      </c>
      <c r="F24" s="53" t="s">
        <v>228</v>
      </c>
    </row>
    <row r="25" spans="2:6">
      <c r="B25" s="9">
        <v>10</v>
      </c>
      <c r="C25" s="10" t="s">
        <v>229</v>
      </c>
      <c r="D25" s="9" t="s">
        <v>322</v>
      </c>
      <c r="E25" s="17">
        <v>10</v>
      </c>
      <c r="F25" s="53" t="s">
        <v>230</v>
      </c>
    </row>
    <row r="26" spans="2:6">
      <c r="B26" s="9">
        <v>11</v>
      </c>
      <c r="C26" s="10" t="s">
        <v>231</v>
      </c>
      <c r="D26" s="9" t="s">
        <v>322</v>
      </c>
      <c r="E26" s="17">
        <v>10</v>
      </c>
      <c r="F26" s="53" t="s">
        <v>232</v>
      </c>
    </row>
    <row r="27" spans="2:6">
      <c r="B27" s="9">
        <v>12</v>
      </c>
      <c r="C27" s="10" t="s">
        <v>233</v>
      </c>
      <c r="D27" s="9" t="s">
        <v>322</v>
      </c>
      <c r="E27" s="17">
        <v>10</v>
      </c>
      <c r="F27" s="53" t="s">
        <v>234</v>
      </c>
    </row>
    <row r="28" spans="2:6">
      <c r="B28" s="9">
        <v>13</v>
      </c>
      <c r="C28" s="10" t="s">
        <v>235</v>
      </c>
      <c r="D28" s="9" t="s">
        <v>322</v>
      </c>
      <c r="E28" s="17">
        <v>20</v>
      </c>
      <c r="F28" s="53" t="s">
        <v>236</v>
      </c>
    </row>
    <row r="29" spans="2:6">
      <c r="B29" s="19">
        <v>14</v>
      </c>
      <c r="C29" s="20" t="s">
        <v>149</v>
      </c>
      <c r="D29" s="19" t="s">
        <v>150</v>
      </c>
      <c r="E29" s="57">
        <v>98</v>
      </c>
      <c r="F29" s="73"/>
    </row>
    <row r="30" spans="2:6">
      <c r="B30" s="50"/>
      <c r="C30" s="51"/>
      <c r="D30" s="50"/>
      <c r="E30" s="52">
        <f>SUM(E16:E29)</f>
        <v>256</v>
      </c>
      <c r="F30" s="51"/>
    </row>
    <row r="31" spans="2:6" ht="14.25" thickBot="1"/>
    <row r="32" spans="2:6" ht="14.25" thickBot="1">
      <c r="B32" s="7" t="s">
        <v>2</v>
      </c>
      <c r="C32" s="8" t="s">
        <v>3</v>
      </c>
      <c r="D32" s="8" t="s">
        <v>4</v>
      </c>
      <c r="E32" s="102" t="s">
        <v>311</v>
      </c>
      <c r="F32" s="8" t="s">
        <v>6</v>
      </c>
    </row>
    <row r="33" spans="2:6" ht="14.25" thickTop="1">
      <c r="B33" s="105">
        <v>1</v>
      </c>
      <c r="C33" s="106" t="s">
        <v>82</v>
      </c>
      <c r="D33" s="107" t="s">
        <v>8</v>
      </c>
      <c r="E33" s="108">
        <v>8</v>
      </c>
      <c r="F33" s="117"/>
    </row>
    <row r="34" spans="2:6" ht="14.25" thickBot="1">
      <c r="B34" s="109">
        <v>2</v>
      </c>
      <c r="C34" s="110" t="s">
        <v>84</v>
      </c>
      <c r="D34" s="111" t="s">
        <v>11</v>
      </c>
      <c r="E34" s="112">
        <v>6</v>
      </c>
      <c r="F34" s="118"/>
    </row>
    <row r="35" spans="2:6" ht="14.25" thickTop="1">
      <c r="B35" s="44">
        <v>3</v>
      </c>
      <c r="C35" s="45" t="s">
        <v>137</v>
      </c>
      <c r="D35" s="44">
        <v>9</v>
      </c>
      <c r="E35" s="46">
        <v>9</v>
      </c>
      <c r="F35" s="54"/>
    </row>
    <row r="36" spans="2:6">
      <c r="B36" s="79">
        <v>4</v>
      </c>
      <c r="C36" s="80" t="s">
        <v>145</v>
      </c>
      <c r="D36" s="79" t="s">
        <v>11</v>
      </c>
      <c r="E36" s="81">
        <v>1</v>
      </c>
      <c r="F36" s="82" t="s">
        <v>194</v>
      </c>
    </row>
    <row r="37" spans="2:6">
      <c r="B37" s="44">
        <v>5</v>
      </c>
      <c r="C37" s="45" t="s">
        <v>146</v>
      </c>
      <c r="D37" s="44" t="s">
        <v>11</v>
      </c>
      <c r="E37" s="46">
        <v>4</v>
      </c>
      <c r="F37" s="54" t="s">
        <v>147</v>
      </c>
    </row>
    <row r="38" spans="2:6">
      <c r="B38" s="9">
        <v>6</v>
      </c>
      <c r="C38" s="59" t="s">
        <v>179</v>
      </c>
      <c r="D38" s="58" t="s">
        <v>11</v>
      </c>
      <c r="E38" s="60">
        <v>1</v>
      </c>
      <c r="F38" s="54" t="s">
        <v>180</v>
      </c>
    </row>
    <row r="39" spans="2:6">
      <c r="B39" s="44">
        <v>7</v>
      </c>
      <c r="C39" s="45" t="s">
        <v>181</v>
      </c>
      <c r="D39" s="44" t="s">
        <v>11</v>
      </c>
      <c r="E39" s="46">
        <v>20</v>
      </c>
      <c r="F39" s="54" t="s">
        <v>182</v>
      </c>
    </row>
    <row r="40" spans="2:6">
      <c r="B40" s="44">
        <v>8</v>
      </c>
      <c r="C40" s="59" t="s">
        <v>183</v>
      </c>
      <c r="D40" s="44" t="s">
        <v>322</v>
      </c>
      <c r="E40" s="46">
        <v>80</v>
      </c>
      <c r="F40" s="54" t="s">
        <v>184</v>
      </c>
    </row>
    <row r="41" spans="2:6">
      <c r="B41" s="44">
        <v>9</v>
      </c>
      <c r="C41" s="45" t="s">
        <v>221</v>
      </c>
      <c r="D41" s="44" t="s">
        <v>11</v>
      </c>
      <c r="E41" s="46">
        <v>10</v>
      </c>
      <c r="F41" s="54" t="s">
        <v>237</v>
      </c>
    </row>
    <row r="42" spans="2:6">
      <c r="B42" s="44">
        <v>10</v>
      </c>
      <c r="C42" s="45" t="s">
        <v>223</v>
      </c>
      <c r="D42" s="44" t="s">
        <v>11</v>
      </c>
      <c r="E42" s="46">
        <v>9</v>
      </c>
      <c r="F42" s="54" t="s">
        <v>238</v>
      </c>
    </row>
    <row r="43" spans="2:6">
      <c r="B43" s="44">
        <v>11</v>
      </c>
      <c r="C43" s="45" t="s">
        <v>225</v>
      </c>
      <c r="D43" s="44" t="s">
        <v>322</v>
      </c>
      <c r="E43" s="46">
        <v>16</v>
      </c>
      <c r="F43" s="54" t="s">
        <v>239</v>
      </c>
    </row>
    <row r="44" spans="2:6">
      <c r="B44" s="44">
        <v>12</v>
      </c>
      <c r="C44" s="45" t="s">
        <v>227</v>
      </c>
      <c r="D44" s="44" t="s">
        <v>240</v>
      </c>
      <c r="E44" s="46">
        <v>9</v>
      </c>
      <c r="F44" s="54" t="s">
        <v>241</v>
      </c>
    </row>
    <row r="45" spans="2:6">
      <c r="B45" s="44">
        <v>13</v>
      </c>
      <c r="C45" s="45" t="s">
        <v>229</v>
      </c>
      <c r="D45" s="44">
        <v>9</v>
      </c>
      <c r="E45" s="46">
        <v>7</v>
      </c>
      <c r="F45" s="54" t="s">
        <v>242</v>
      </c>
    </row>
    <row r="46" spans="2:6">
      <c r="B46" s="44">
        <v>14</v>
      </c>
      <c r="C46" s="45" t="s">
        <v>243</v>
      </c>
      <c r="D46" s="44" t="s">
        <v>244</v>
      </c>
      <c r="E46" s="46">
        <v>1</v>
      </c>
      <c r="F46" s="54" t="s">
        <v>186</v>
      </c>
    </row>
    <row r="47" spans="2:6">
      <c r="B47" s="44">
        <v>15</v>
      </c>
      <c r="C47" s="45" t="s">
        <v>231</v>
      </c>
      <c r="D47" s="44">
        <v>9</v>
      </c>
      <c r="E47" s="46">
        <v>9</v>
      </c>
      <c r="F47" s="54" t="s">
        <v>245</v>
      </c>
    </row>
    <row r="48" spans="2:6">
      <c r="B48" s="44">
        <v>16</v>
      </c>
      <c r="C48" s="45" t="s">
        <v>233</v>
      </c>
      <c r="D48" s="44" t="s">
        <v>322</v>
      </c>
      <c r="E48" s="46">
        <v>20</v>
      </c>
      <c r="F48" s="54" t="s">
        <v>246</v>
      </c>
    </row>
    <row r="49" spans="2:6">
      <c r="B49" s="44">
        <v>17</v>
      </c>
      <c r="C49" s="45" t="s">
        <v>235</v>
      </c>
      <c r="D49" s="44" t="s">
        <v>247</v>
      </c>
      <c r="E49" s="46">
        <v>20</v>
      </c>
      <c r="F49" s="54"/>
    </row>
    <row r="50" spans="2:6">
      <c r="B50" s="47">
        <v>18</v>
      </c>
      <c r="C50" s="48" t="s">
        <v>149</v>
      </c>
      <c r="D50" s="47" t="s">
        <v>248</v>
      </c>
      <c r="E50" s="49">
        <v>26</v>
      </c>
      <c r="F50" s="56"/>
    </row>
    <row r="51" spans="2:6">
      <c r="B51" s="50"/>
      <c r="C51" s="51"/>
      <c r="D51" s="50"/>
      <c r="E51" s="52">
        <f>SUM(E33:E50)</f>
        <v>256</v>
      </c>
      <c r="F51" s="70"/>
    </row>
    <row r="52" spans="2:6" ht="14.25" thickBot="1"/>
    <row r="53" spans="2:6" ht="14.25" thickBot="1">
      <c r="B53" s="7" t="s">
        <v>2</v>
      </c>
      <c r="C53" s="8" t="s">
        <v>3</v>
      </c>
      <c r="D53" s="8" t="s">
        <v>4</v>
      </c>
      <c r="E53" s="102" t="s">
        <v>311</v>
      </c>
      <c r="F53" s="8" t="s">
        <v>6</v>
      </c>
    </row>
    <row r="54" spans="2:6" ht="14.25" thickTop="1">
      <c r="B54" s="105">
        <v>1</v>
      </c>
      <c r="C54" s="106" t="s">
        <v>82</v>
      </c>
      <c r="D54" s="107" t="s">
        <v>8</v>
      </c>
      <c r="E54" s="108">
        <v>8</v>
      </c>
      <c r="F54" s="117"/>
    </row>
    <row r="55" spans="2:6" ht="14.25" thickBot="1">
      <c r="B55" s="109">
        <v>2</v>
      </c>
      <c r="C55" s="110" t="s">
        <v>84</v>
      </c>
      <c r="D55" s="111" t="s">
        <v>11</v>
      </c>
      <c r="E55" s="112">
        <v>6</v>
      </c>
      <c r="F55" s="118"/>
    </row>
    <row r="56" spans="2:6" ht="14.25" thickTop="1">
      <c r="B56" s="44">
        <v>3</v>
      </c>
      <c r="C56" s="45" t="s">
        <v>137</v>
      </c>
      <c r="D56" s="44">
        <v>9</v>
      </c>
      <c r="E56" s="46">
        <v>9</v>
      </c>
      <c r="F56" s="54"/>
    </row>
    <row r="57" spans="2:6">
      <c r="B57" s="79">
        <v>4</v>
      </c>
      <c r="C57" s="80" t="s">
        <v>145</v>
      </c>
      <c r="D57" s="79" t="s">
        <v>11</v>
      </c>
      <c r="E57" s="81">
        <v>1</v>
      </c>
      <c r="F57" s="82" t="s">
        <v>198</v>
      </c>
    </row>
    <row r="58" spans="2:6">
      <c r="B58" s="44">
        <v>5</v>
      </c>
      <c r="C58" s="45" t="s">
        <v>146</v>
      </c>
      <c r="D58" s="44" t="s">
        <v>11</v>
      </c>
      <c r="E58" s="46">
        <v>4</v>
      </c>
      <c r="F58" s="54" t="s">
        <v>147</v>
      </c>
    </row>
    <row r="59" spans="2:6">
      <c r="B59" s="44">
        <v>6</v>
      </c>
      <c r="C59" s="45" t="s">
        <v>195</v>
      </c>
      <c r="D59" s="44" t="s">
        <v>322</v>
      </c>
      <c r="E59" s="46">
        <v>100</v>
      </c>
      <c r="F59" s="54"/>
    </row>
    <row r="60" spans="2:6">
      <c r="B60" s="44">
        <v>7</v>
      </c>
      <c r="C60" s="45" t="s">
        <v>197</v>
      </c>
      <c r="D60" s="44" t="s">
        <v>322</v>
      </c>
      <c r="E60" s="46">
        <v>100</v>
      </c>
      <c r="F60" s="54"/>
    </row>
    <row r="61" spans="2:6">
      <c r="B61" s="19">
        <v>8</v>
      </c>
      <c r="C61" s="20" t="s">
        <v>149</v>
      </c>
      <c r="D61" s="19" t="s">
        <v>150</v>
      </c>
      <c r="E61" s="57">
        <v>28</v>
      </c>
      <c r="F61" s="73"/>
    </row>
    <row r="62" spans="2:6">
      <c r="B62" s="50"/>
      <c r="C62" s="51"/>
      <c r="D62" s="50"/>
      <c r="E62" s="52">
        <f>SUM(E54:E61)</f>
        <v>256</v>
      </c>
      <c r="F62" s="51"/>
    </row>
  </sheetData>
  <mergeCells count="1">
    <mergeCell ref="B1:F2"/>
  </mergeCells>
  <phoneticPr fontId="4"/>
  <pageMargins left="0.39370078740157483" right="0.39370078740157483" top="0.19685039370078741" bottom="0.31496062992125984" header="0.51181102362204722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showGridLines="0" zoomScaleNormal="100" zoomScaleSheetLayoutView="100" workbookViewId="0"/>
  </sheetViews>
  <sheetFormatPr defaultColWidth="9" defaultRowHeight="13.5"/>
  <cols>
    <col min="1" max="1" width="2.75" style="23" customWidth="1"/>
    <col min="2" max="2" width="4.75" style="23" customWidth="1"/>
    <col min="3" max="3" width="18.5" style="23" customWidth="1"/>
    <col min="4" max="4" width="5.625" style="43" customWidth="1"/>
    <col min="5" max="5" width="5.625" style="28" customWidth="1"/>
    <col min="6" max="6" width="54.375" style="23" customWidth="1"/>
    <col min="7" max="7" width="3.25" style="23" customWidth="1"/>
    <col min="8" max="16384" width="9" style="23"/>
  </cols>
  <sheetData>
    <row r="1" spans="1:6" ht="14.25">
      <c r="A1" s="1"/>
      <c r="B1" s="135" t="s">
        <v>303</v>
      </c>
      <c r="C1" s="135"/>
      <c r="D1" s="135"/>
      <c r="E1" s="135"/>
      <c r="F1" s="135"/>
    </row>
    <row r="2" spans="1:6" ht="14.25">
      <c r="A2" s="1"/>
      <c r="B2" s="135"/>
      <c r="C2" s="135"/>
      <c r="D2" s="135"/>
      <c r="E2" s="135"/>
      <c r="F2" s="135"/>
    </row>
    <row r="3" spans="1:6">
      <c r="A3" s="24"/>
      <c r="B3" s="25"/>
      <c r="D3" s="26"/>
      <c r="E3" s="27"/>
    </row>
    <row r="4" spans="1:6" ht="14.25" thickBot="1">
      <c r="B4" s="23" t="s">
        <v>249</v>
      </c>
      <c r="D4" s="23"/>
      <c r="F4" s="133" t="s">
        <v>326</v>
      </c>
    </row>
    <row r="5" spans="1:6" ht="14.25" thickBot="1">
      <c r="B5" s="7" t="s">
        <v>2</v>
      </c>
      <c r="C5" s="8" t="s">
        <v>3</v>
      </c>
      <c r="D5" s="8" t="s">
        <v>4</v>
      </c>
      <c r="E5" s="102" t="s">
        <v>311</v>
      </c>
      <c r="F5" s="8" t="s">
        <v>6</v>
      </c>
    </row>
    <row r="6" spans="1:6" ht="14.25" thickTop="1">
      <c r="B6" s="105">
        <v>1</v>
      </c>
      <c r="C6" s="106" t="s">
        <v>82</v>
      </c>
      <c r="D6" s="107" t="s">
        <v>8</v>
      </c>
      <c r="E6" s="108">
        <v>8</v>
      </c>
      <c r="F6" s="117"/>
    </row>
    <row r="7" spans="1:6" ht="14.25" thickBot="1">
      <c r="B7" s="109">
        <v>2</v>
      </c>
      <c r="C7" s="110" t="s">
        <v>84</v>
      </c>
      <c r="D7" s="111" t="s">
        <v>11</v>
      </c>
      <c r="E7" s="112">
        <v>6</v>
      </c>
      <c r="F7" s="118"/>
    </row>
    <row r="8" spans="1:6" ht="14.25" thickTop="1">
      <c r="B8" s="9">
        <v>3</v>
      </c>
      <c r="C8" s="10" t="s">
        <v>137</v>
      </c>
      <c r="D8" s="9">
        <v>9</v>
      </c>
      <c r="E8" s="17">
        <v>9</v>
      </c>
      <c r="F8" s="53"/>
    </row>
    <row r="9" spans="1:6">
      <c r="B9" s="79">
        <v>4</v>
      </c>
      <c r="C9" s="80" t="s">
        <v>145</v>
      </c>
      <c r="D9" s="79" t="s">
        <v>11</v>
      </c>
      <c r="E9" s="81">
        <v>1</v>
      </c>
      <c r="F9" s="82" t="s">
        <v>151</v>
      </c>
    </row>
    <row r="10" spans="1:6">
      <c r="B10" s="44">
        <v>5</v>
      </c>
      <c r="C10" s="45" t="s">
        <v>146</v>
      </c>
      <c r="D10" s="44" t="s">
        <v>11</v>
      </c>
      <c r="E10" s="46">
        <v>4</v>
      </c>
      <c r="F10" s="54" t="s">
        <v>147</v>
      </c>
    </row>
    <row r="11" spans="1:6">
      <c r="B11" s="44">
        <v>6</v>
      </c>
      <c r="C11" s="45" t="s">
        <v>139</v>
      </c>
      <c r="D11" s="44" t="s">
        <v>322</v>
      </c>
      <c r="E11" s="46">
        <v>120</v>
      </c>
      <c r="F11" s="55" t="s">
        <v>250</v>
      </c>
    </row>
    <row r="12" spans="1:6">
      <c r="B12" s="47">
        <v>7</v>
      </c>
      <c r="C12" s="48" t="s">
        <v>149</v>
      </c>
      <c r="D12" s="47" t="s">
        <v>150</v>
      </c>
      <c r="E12" s="49">
        <v>108</v>
      </c>
      <c r="F12" s="56"/>
    </row>
    <row r="13" spans="1:6">
      <c r="B13" s="50"/>
      <c r="C13" s="51"/>
      <c r="D13" s="50"/>
      <c r="E13" s="52">
        <f>SUM(E6:E12)</f>
        <v>256</v>
      </c>
      <c r="F13" s="51"/>
    </row>
    <row r="14" spans="1:6" ht="14.25" thickBot="1"/>
    <row r="15" spans="1:6" ht="14.25" thickBot="1">
      <c r="B15" s="7" t="s">
        <v>2</v>
      </c>
      <c r="C15" s="8" t="s">
        <v>3</v>
      </c>
      <c r="D15" s="8" t="s">
        <v>4</v>
      </c>
      <c r="E15" s="102" t="s">
        <v>311</v>
      </c>
      <c r="F15" s="8" t="s">
        <v>6</v>
      </c>
    </row>
    <row r="16" spans="1:6" ht="14.25" thickTop="1">
      <c r="B16" s="105">
        <v>1</v>
      </c>
      <c r="C16" s="106" t="s">
        <v>82</v>
      </c>
      <c r="D16" s="107" t="s">
        <v>8</v>
      </c>
      <c r="E16" s="108">
        <v>8</v>
      </c>
      <c r="F16" s="117"/>
    </row>
    <row r="17" spans="2:6" ht="14.25" thickBot="1">
      <c r="B17" s="109">
        <v>2</v>
      </c>
      <c r="C17" s="110" t="s">
        <v>84</v>
      </c>
      <c r="D17" s="111" t="s">
        <v>11</v>
      </c>
      <c r="E17" s="112">
        <v>6</v>
      </c>
      <c r="F17" s="118"/>
    </row>
    <row r="18" spans="2:6" ht="14.25" thickTop="1">
      <c r="B18" s="44">
        <v>3</v>
      </c>
      <c r="C18" s="45" t="s">
        <v>137</v>
      </c>
      <c r="D18" s="44">
        <v>9</v>
      </c>
      <c r="E18" s="46">
        <v>9</v>
      </c>
      <c r="F18" s="54"/>
    </row>
    <row r="19" spans="2:6">
      <c r="B19" s="79">
        <v>4</v>
      </c>
      <c r="C19" s="80" t="s">
        <v>145</v>
      </c>
      <c r="D19" s="79" t="s">
        <v>11</v>
      </c>
      <c r="E19" s="81">
        <v>1</v>
      </c>
      <c r="F19" s="82" t="s">
        <v>178</v>
      </c>
    </row>
    <row r="20" spans="2:6">
      <c r="B20" s="44">
        <v>5</v>
      </c>
      <c r="C20" s="45" t="s">
        <v>146</v>
      </c>
      <c r="D20" s="44" t="s">
        <v>11</v>
      </c>
      <c r="E20" s="46">
        <v>4</v>
      </c>
      <c r="F20" s="54" t="s">
        <v>147</v>
      </c>
    </row>
    <row r="21" spans="2:6">
      <c r="B21" s="44">
        <v>6</v>
      </c>
      <c r="C21" s="45" t="s">
        <v>221</v>
      </c>
      <c r="D21" s="44" t="s">
        <v>322</v>
      </c>
      <c r="E21" s="46">
        <v>20</v>
      </c>
      <c r="F21" s="54" t="s">
        <v>222</v>
      </c>
    </row>
    <row r="22" spans="2:6">
      <c r="B22" s="44">
        <v>7</v>
      </c>
      <c r="C22" s="45" t="s">
        <v>223</v>
      </c>
      <c r="D22" s="44" t="s">
        <v>322</v>
      </c>
      <c r="E22" s="46">
        <v>20</v>
      </c>
      <c r="F22" s="54" t="s">
        <v>224</v>
      </c>
    </row>
    <row r="23" spans="2:6">
      <c r="B23" s="44">
        <v>8</v>
      </c>
      <c r="C23" s="45" t="s">
        <v>225</v>
      </c>
      <c r="D23" s="44" t="s">
        <v>322</v>
      </c>
      <c r="E23" s="46">
        <v>20</v>
      </c>
      <c r="F23" s="54" t="s">
        <v>226</v>
      </c>
    </row>
    <row r="24" spans="2:6">
      <c r="B24" s="9">
        <v>9</v>
      </c>
      <c r="C24" s="10" t="s">
        <v>227</v>
      </c>
      <c r="D24" s="9" t="s">
        <v>322</v>
      </c>
      <c r="E24" s="17">
        <v>20</v>
      </c>
      <c r="F24" s="53" t="s">
        <v>228</v>
      </c>
    </row>
    <row r="25" spans="2:6">
      <c r="B25" s="9">
        <v>10</v>
      </c>
      <c r="C25" s="10" t="s">
        <v>229</v>
      </c>
      <c r="D25" s="9" t="s">
        <v>322</v>
      </c>
      <c r="E25" s="17">
        <v>10</v>
      </c>
      <c r="F25" s="53" t="s">
        <v>230</v>
      </c>
    </row>
    <row r="26" spans="2:6">
      <c r="B26" s="9">
        <v>11</v>
      </c>
      <c r="C26" s="10" t="s">
        <v>231</v>
      </c>
      <c r="D26" s="9" t="s">
        <v>322</v>
      </c>
      <c r="E26" s="17">
        <v>10</v>
      </c>
      <c r="F26" s="53" t="s">
        <v>251</v>
      </c>
    </row>
    <row r="27" spans="2:6">
      <c r="B27" s="9">
        <v>12</v>
      </c>
      <c r="C27" s="83" t="s">
        <v>252</v>
      </c>
      <c r="D27" s="9" t="s">
        <v>322</v>
      </c>
      <c r="E27" s="17">
        <v>10</v>
      </c>
      <c r="F27" s="77" t="s">
        <v>253</v>
      </c>
    </row>
    <row r="28" spans="2:6">
      <c r="B28" s="9">
        <v>13</v>
      </c>
      <c r="C28" s="83" t="s">
        <v>254</v>
      </c>
      <c r="D28" s="9" t="s">
        <v>322</v>
      </c>
      <c r="E28" s="17">
        <v>20</v>
      </c>
      <c r="F28" s="77" t="s">
        <v>255</v>
      </c>
    </row>
    <row r="29" spans="2:6">
      <c r="B29" s="19">
        <v>14</v>
      </c>
      <c r="C29" s="20" t="s">
        <v>149</v>
      </c>
      <c r="D29" s="19" t="s">
        <v>240</v>
      </c>
      <c r="E29" s="57">
        <v>98</v>
      </c>
      <c r="F29" s="73"/>
    </row>
    <row r="30" spans="2:6">
      <c r="B30" s="50"/>
      <c r="C30" s="51"/>
      <c r="D30" s="50"/>
      <c r="E30" s="52">
        <f>SUM(E16:E29)</f>
        <v>256</v>
      </c>
      <c r="F30" s="51"/>
    </row>
    <row r="31" spans="2:6" ht="14.25" thickBot="1"/>
    <row r="32" spans="2:6" ht="14.25" thickBot="1">
      <c r="B32" s="7" t="s">
        <v>2</v>
      </c>
      <c r="C32" s="8" t="s">
        <v>3</v>
      </c>
      <c r="D32" s="8" t="s">
        <v>4</v>
      </c>
      <c r="E32" s="102" t="s">
        <v>311</v>
      </c>
      <c r="F32" s="8" t="s">
        <v>6</v>
      </c>
    </row>
    <row r="33" spans="2:6" ht="14.25" thickTop="1">
      <c r="B33" s="105">
        <v>1</v>
      </c>
      <c r="C33" s="106" t="s">
        <v>82</v>
      </c>
      <c r="D33" s="107" t="s">
        <v>8</v>
      </c>
      <c r="E33" s="108">
        <v>8</v>
      </c>
      <c r="F33" s="117"/>
    </row>
    <row r="34" spans="2:6" ht="14.25" thickBot="1">
      <c r="B34" s="109">
        <v>2</v>
      </c>
      <c r="C34" s="110" t="s">
        <v>84</v>
      </c>
      <c r="D34" s="111" t="s">
        <v>11</v>
      </c>
      <c r="E34" s="112">
        <v>6</v>
      </c>
      <c r="F34" s="118"/>
    </row>
    <row r="35" spans="2:6" ht="14.25" thickTop="1">
      <c r="B35" s="44">
        <v>3</v>
      </c>
      <c r="C35" s="45" t="s">
        <v>137</v>
      </c>
      <c r="D35" s="44">
        <v>9</v>
      </c>
      <c r="E35" s="46">
        <v>9</v>
      </c>
      <c r="F35" s="54"/>
    </row>
    <row r="36" spans="2:6">
      <c r="B36" s="79">
        <v>4</v>
      </c>
      <c r="C36" s="80" t="s">
        <v>145</v>
      </c>
      <c r="D36" s="79" t="s">
        <v>11</v>
      </c>
      <c r="E36" s="81">
        <v>1</v>
      </c>
      <c r="F36" s="82" t="s">
        <v>194</v>
      </c>
    </row>
    <row r="37" spans="2:6">
      <c r="B37" s="44">
        <v>5</v>
      </c>
      <c r="C37" s="45" t="s">
        <v>146</v>
      </c>
      <c r="D37" s="44" t="s">
        <v>11</v>
      </c>
      <c r="E37" s="46">
        <v>4</v>
      </c>
      <c r="F37" s="54" t="s">
        <v>147</v>
      </c>
    </row>
    <row r="38" spans="2:6">
      <c r="B38" s="44">
        <v>6</v>
      </c>
      <c r="C38" s="45" t="s">
        <v>179</v>
      </c>
      <c r="D38" s="44" t="s">
        <v>11</v>
      </c>
      <c r="E38" s="46">
        <v>1</v>
      </c>
      <c r="F38" s="54" t="s">
        <v>180</v>
      </c>
    </row>
    <row r="39" spans="2:6">
      <c r="B39" s="44">
        <v>7</v>
      </c>
      <c r="C39" s="59" t="s">
        <v>181</v>
      </c>
      <c r="D39" s="44" t="s">
        <v>11</v>
      </c>
      <c r="E39" s="46">
        <v>20</v>
      </c>
      <c r="F39" s="54" t="s">
        <v>256</v>
      </c>
    </row>
    <row r="40" spans="2:6">
      <c r="B40" s="44">
        <v>8</v>
      </c>
      <c r="C40" s="59" t="s">
        <v>183</v>
      </c>
      <c r="D40" s="44" t="s">
        <v>322</v>
      </c>
      <c r="E40" s="46">
        <v>80</v>
      </c>
      <c r="F40" s="54" t="s">
        <v>182</v>
      </c>
    </row>
    <row r="41" spans="2:6">
      <c r="B41" s="44">
        <v>9</v>
      </c>
      <c r="C41" s="45" t="s">
        <v>221</v>
      </c>
      <c r="D41" s="44" t="s">
        <v>11</v>
      </c>
      <c r="E41" s="46">
        <v>10</v>
      </c>
      <c r="F41" s="54" t="s">
        <v>257</v>
      </c>
    </row>
    <row r="42" spans="2:6">
      <c r="B42" s="44">
        <v>10</v>
      </c>
      <c r="C42" s="45" t="s">
        <v>223</v>
      </c>
      <c r="D42" s="44" t="s">
        <v>11</v>
      </c>
      <c r="E42" s="46">
        <v>9</v>
      </c>
      <c r="F42" s="54" t="s">
        <v>238</v>
      </c>
    </row>
    <row r="43" spans="2:6">
      <c r="B43" s="44">
        <v>11</v>
      </c>
      <c r="C43" s="45" t="s">
        <v>225</v>
      </c>
      <c r="D43" s="44" t="s">
        <v>322</v>
      </c>
      <c r="E43" s="46">
        <v>16</v>
      </c>
      <c r="F43" s="54" t="s">
        <v>239</v>
      </c>
    </row>
    <row r="44" spans="2:6">
      <c r="B44" s="44">
        <v>12</v>
      </c>
      <c r="C44" s="45" t="s">
        <v>227</v>
      </c>
      <c r="D44" s="44" t="s">
        <v>11</v>
      </c>
      <c r="E44" s="46">
        <v>9</v>
      </c>
      <c r="F44" s="54" t="s">
        <v>238</v>
      </c>
    </row>
    <row r="45" spans="2:6">
      <c r="B45" s="44">
        <v>13</v>
      </c>
      <c r="C45" s="45" t="s">
        <v>229</v>
      </c>
      <c r="D45" s="44">
        <v>9</v>
      </c>
      <c r="E45" s="46">
        <v>7</v>
      </c>
      <c r="F45" s="54" t="s">
        <v>258</v>
      </c>
    </row>
    <row r="46" spans="2:6">
      <c r="B46" s="44">
        <v>14</v>
      </c>
      <c r="C46" s="45" t="s">
        <v>243</v>
      </c>
      <c r="D46" s="44" t="s">
        <v>259</v>
      </c>
      <c r="E46" s="46">
        <v>1</v>
      </c>
      <c r="F46" s="54" t="s">
        <v>186</v>
      </c>
    </row>
    <row r="47" spans="2:6">
      <c r="B47" s="44">
        <v>15</v>
      </c>
      <c r="C47" s="45" t="s">
        <v>231</v>
      </c>
      <c r="D47" s="44">
        <v>9</v>
      </c>
      <c r="E47" s="46">
        <v>9</v>
      </c>
      <c r="F47" s="54" t="s">
        <v>245</v>
      </c>
    </row>
    <row r="48" spans="2:6">
      <c r="B48" s="44">
        <v>16</v>
      </c>
      <c r="C48" s="45" t="s">
        <v>260</v>
      </c>
      <c r="D48" s="44" t="s">
        <v>322</v>
      </c>
      <c r="E48" s="46">
        <v>20</v>
      </c>
      <c r="F48" s="54" t="s">
        <v>246</v>
      </c>
    </row>
    <row r="49" spans="2:6">
      <c r="B49" s="44">
        <v>17</v>
      </c>
      <c r="C49" s="45" t="s">
        <v>254</v>
      </c>
      <c r="D49" s="44" t="s">
        <v>322</v>
      </c>
      <c r="E49" s="46">
        <v>20</v>
      </c>
      <c r="F49" s="54" t="s">
        <v>261</v>
      </c>
    </row>
    <row r="50" spans="2:6">
      <c r="B50" s="47">
        <v>18</v>
      </c>
      <c r="C50" s="48" t="s">
        <v>149</v>
      </c>
      <c r="D50" s="47" t="s">
        <v>150</v>
      </c>
      <c r="E50" s="49">
        <v>26</v>
      </c>
      <c r="F50" s="56"/>
    </row>
    <row r="51" spans="2:6">
      <c r="B51" s="50"/>
      <c r="C51" s="51"/>
      <c r="D51" s="50"/>
      <c r="E51" s="52">
        <f>SUM(E33:E50)</f>
        <v>256</v>
      </c>
      <c r="F51" s="70"/>
    </row>
    <row r="52" spans="2:6" ht="14.25" thickBot="1"/>
    <row r="53" spans="2:6" ht="14.25" thickBot="1">
      <c r="B53" s="7" t="s">
        <v>2</v>
      </c>
      <c r="C53" s="8" t="s">
        <v>3</v>
      </c>
      <c r="D53" s="8" t="s">
        <v>4</v>
      </c>
      <c r="E53" s="102" t="s">
        <v>311</v>
      </c>
      <c r="F53" s="8" t="s">
        <v>6</v>
      </c>
    </row>
    <row r="54" spans="2:6" ht="14.25" thickTop="1">
      <c r="B54" s="105">
        <v>1</v>
      </c>
      <c r="C54" s="106" t="s">
        <v>82</v>
      </c>
      <c r="D54" s="107" t="s">
        <v>8</v>
      </c>
      <c r="E54" s="108">
        <v>8</v>
      </c>
      <c r="F54" s="117"/>
    </row>
    <row r="55" spans="2:6" ht="14.25" thickBot="1">
      <c r="B55" s="109">
        <v>2</v>
      </c>
      <c r="C55" s="110" t="s">
        <v>84</v>
      </c>
      <c r="D55" s="111" t="s">
        <v>11</v>
      </c>
      <c r="E55" s="112">
        <v>6</v>
      </c>
      <c r="F55" s="118"/>
    </row>
    <row r="56" spans="2:6" ht="14.25" thickTop="1">
      <c r="B56" s="44">
        <v>3</v>
      </c>
      <c r="C56" s="45" t="s">
        <v>137</v>
      </c>
      <c r="D56" s="44">
        <v>9</v>
      </c>
      <c r="E56" s="46">
        <v>9</v>
      </c>
      <c r="F56" s="54"/>
    </row>
    <row r="57" spans="2:6">
      <c r="B57" s="79">
        <v>4</v>
      </c>
      <c r="C57" s="80" t="s">
        <v>145</v>
      </c>
      <c r="D57" s="79" t="s">
        <v>11</v>
      </c>
      <c r="E57" s="81">
        <v>1</v>
      </c>
      <c r="F57" s="82" t="s">
        <v>198</v>
      </c>
    </row>
    <row r="58" spans="2:6">
      <c r="B58" s="44">
        <v>5</v>
      </c>
      <c r="C58" s="45" t="s">
        <v>146</v>
      </c>
      <c r="D58" s="44" t="s">
        <v>11</v>
      </c>
      <c r="E58" s="46">
        <v>4</v>
      </c>
      <c r="F58" s="54" t="s">
        <v>147</v>
      </c>
    </row>
    <row r="59" spans="2:6">
      <c r="B59" s="44">
        <v>6</v>
      </c>
      <c r="C59" s="45" t="s">
        <v>195</v>
      </c>
      <c r="D59" s="44" t="s">
        <v>322</v>
      </c>
      <c r="E59" s="46">
        <v>100</v>
      </c>
      <c r="F59" s="54"/>
    </row>
    <row r="60" spans="2:6">
      <c r="B60" s="44">
        <v>7</v>
      </c>
      <c r="C60" s="45" t="s">
        <v>197</v>
      </c>
      <c r="D60" s="44" t="s">
        <v>322</v>
      </c>
      <c r="E60" s="46">
        <v>100</v>
      </c>
      <c r="F60" s="54"/>
    </row>
    <row r="61" spans="2:6">
      <c r="B61" s="19">
        <v>8</v>
      </c>
      <c r="C61" s="20" t="s">
        <v>149</v>
      </c>
      <c r="D61" s="19" t="s">
        <v>150</v>
      </c>
      <c r="E61" s="57">
        <v>28</v>
      </c>
      <c r="F61" s="73"/>
    </row>
    <row r="62" spans="2:6">
      <c r="B62" s="50"/>
      <c r="C62" s="51"/>
      <c r="D62" s="50"/>
      <c r="E62" s="52">
        <f>SUM(E54:E61)</f>
        <v>256</v>
      </c>
      <c r="F62" s="51"/>
    </row>
  </sheetData>
  <mergeCells count="1">
    <mergeCell ref="B1:F2"/>
  </mergeCells>
  <phoneticPr fontId="4"/>
  <pageMargins left="0.39370078740157483" right="0.39370078740157483" top="0.19685039370078741" bottom="0.31496062992125984" header="0.51181102362204722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showGridLines="0" zoomScaleNormal="100" zoomScaleSheetLayoutView="100" workbookViewId="0"/>
  </sheetViews>
  <sheetFormatPr defaultColWidth="9" defaultRowHeight="13.5"/>
  <cols>
    <col min="1" max="1" width="2.75" style="23" customWidth="1"/>
    <col min="2" max="2" width="4.75" style="23" customWidth="1"/>
    <col min="3" max="3" width="18.5" style="23" customWidth="1"/>
    <col min="4" max="4" width="5.625" style="43" customWidth="1"/>
    <col min="5" max="5" width="5.625" style="28" customWidth="1"/>
    <col min="6" max="6" width="54.375" style="23" customWidth="1"/>
    <col min="7" max="7" width="3.25" style="23" customWidth="1"/>
    <col min="8" max="16384" width="9" style="23"/>
  </cols>
  <sheetData>
    <row r="1" spans="1:6" ht="14.25">
      <c r="A1" s="1"/>
      <c r="B1" s="135" t="s">
        <v>262</v>
      </c>
      <c r="C1" s="135"/>
      <c r="D1" s="135"/>
      <c r="E1" s="135"/>
      <c r="F1" s="135"/>
    </row>
    <row r="2" spans="1:6" ht="14.25">
      <c r="A2" s="1"/>
      <c r="B2" s="135"/>
      <c r="C2" s="135"/>
      <c r="D2" s="135"/>
      <c r="E2" s="135"/>
      <c r="F2" s="135"/>
    </row>
    <row r="3" spans="1:6">
      <c r="A3" s="24"/>
      <c r="B3" s="25"/>
      <c r="D3" s="26"/>
      <c r="E3" s="27"/>
    </row>
    <row r="4" spans="1:6" ht="14.25" thickBot="1">
      <c r="B4" s="23" t="s">
        <v>263</v>
      </c>
      <c r="D4" s="23"/>
      <c r="F4" s="133" t="s">
        <v>326</v>
      </c>
    </row>
    <row r="5" spans="1:6" ht="14.25" thickBot="1">
      <c r="B5" s="7" t="s">
        <v>2</v>
      </c>
      <c r="C5" s="8" t="s">
        <v>3</v>
      </c>
      <c r="D5" s="8" t="s">
        <v>4</v>
      </c>
      <c r="E5" s="102" t="s">
        <v>311</v>
      </c>
      <c r="F5" s="8" t="s">
        <v>6</v>
      </c>
    </row>
    <row r="6" spans="1:6" ht="14.25" thickTop="1">
      <c r="B6" s="105">
        <v>1</v>
      </c>
      <c r="C6" s="106" t="s">
        <v>82</v>
      </c>
      <c r="D6" s="107" t="s">
        <v>8</v>
      </c>
      <c r="E6" s="108">
        <v>8</v>
      </c>
      <c r="F6" s="117"/>
    </row>
    <row r="7" spans="1:6" ht="14.25" thickBot="1">
      <c r="B7" s="109">
        <v>2</v>
      </c>
      <c r="C7" s="110" t="s">
        <v>84</v>
      </c>
      <c r="D7" s="111" t="s">
        <v>11</v>
      </c>
      <c r="E7" s="112">
        <v>6</v>
      </c>
      <c r="F7" s="118"/>
    </row>
    <row r="8" spans="1:6" ht="14.25" thickTop="1">
      <c r="B8" s="9">
        <v>3</v>
      </c>
      <c r="C8" s="10" t="s">
        <v>137</v>
      </c>
      <c r="D8" s="9">
        <v>9</v>
      </c>
      <c r="E8" s="17">
        <v>9</v>
      </c>
      <c r="F8" s="53"/>
    </row>
    <row r="9" spans="1:6">
      <c r="B9" s="79">
        <v>4</v>
      </c>
      <c r="C9" s="80" t="s">
        <v>145</v>
      </c>
      <c r="D9" s="79" t="s">
        <v>11</v>
      </c>
      <c r="E9" s="81">
        <v>1</v>
      </c>
      <c r="F9" s="82" t="s">
        <v>151</v>
      </c>
    </row>
    <row r="10" spans="1:6">
      <c r="B10" s="44">
        <v>5</v>
      </c>
      <c r="C10" s="45" t="s">
        <v>146</v>
      </c>
      <c r="D10" s="44" t="s">
        <v>11</v>
      </c>
      <c r="E10" s="46">
        <v>4</v>
      </c>
      <c r="F10" s="54" t="s">
        <v>147</v>
      </c>
    </row>
    <row r="11" spans="1:6">
      <c r="B11" s="44">
        <v>6</v>
      </c>
      <c r="C11" s="84" t="s">
        <v>139</v>
      </c>
      <c r="D11" s="44" t="s">
        <v>322</v>
      </c>
      <c r="E11" s="46">
        <v>120</v>
      </c>
      <c r="F11" s="55" t="s">
        <v>264</v>
      </c>
    </row>
    <row r="12" spans="1:6">
      <c r="B12" s="47">
        <v>7</v>
      </c>
      <c r="C12" s="85" t="s">
        <v>149</v>
      </c>
      <c r="D12" s="47" t="s">
        <v>150</v>
      </c>
      <c r="E12" s="49">
        <v>108</v>
      </c>
      <c r="F12" s="56"/>
    </row>
    <row r="13" spans="1:6">
      <c r="B13" s="50"/>
      <c r="C13" s="51"/>
      <c r="D13" s="50"/>
      <c r="E13" s="52">
        <f>SUM(E6:E12)</f>
        <v>256</v>
      </c>
      <c r="F13" s="51"/>
    </row>
    <row r="14" spans="1:6" ht="14.25" thickBot="1"/>
    <row r="15" spans="1:6" ht="14.25" thickBot="1">
      <c r="B15" s="7" t="s">
        <v>2</v>
      </c>
      <c r="C15" s="8" t="s">
        <v>3</v>
      </c>
      <c r="D15" s="8" t="s">
        <v>4</v>
      </c>
      <c r="E15" s="102" t="s">
        <v>311</v>
      </c>
      <c r="F15" s="8" t="s">
        <v>6</v>
      </c>
    </row>
    <row r="16" spans="1:6" ht="14.25" thickTop="1">
      <c r="B16" s="105">
        <v>1</v>
      </c>
      <c r="C16" s="106" t="s">
        <v>82</v>
      </c>
      <c r="D16" s="107" t="s">
        <v>8</v>
      </c>
      <c r="E16" s="108">
        <v>8</v>
      </c>
      <c r="F16" s="117"/>
    </row>
    <row r="17" spans="2:6" ht="14.25" thickBot="1">
      <c r="B17" s="109">
        <v>2</v>
      </c>
      <c r="C17" s="110" t="s">
        <v>84</v>
      </c>
      <c r="D17" s="111" t="s">
        <v>11</v>
      </c>
      <c r="E17" s="112">
        <v>6</v>
      </c>
      <c r="F17" s="118"/>
    </row>
    <row r="18" spans="2:6" ht="14.25" thickTop="1">
      <c r="B18" s="44">
        <v>3</v>
      </c>
      <c r="C18" s="45" t="s">
        <v>137</v>
      </c>
      <c r="D18" s="44">
        <v>9</v>
      </c>
      <c r="E18" s="46">
        <v>9</v>
      </c>
      <c r="F18" s="54"/>
    </row>
    <row r="19" spans="2:6">
      <c r="B19" s="79">
        <v>4</v>
      </c>
      <c r="C19" s="80" t="s">
        <v>145</v>
      </c>
      <c r="D19" s="79" t="s">
        <v>11</v>
      </c>
      <c r="E19" s="81">
        <v>1</v>
      </c>
      <c r="F19" s="82" t="s">
        <v>178</v>
      </c>
    </row>
    <row r="20" spans="2:6">
      <c r="B20" s="44">
        <v>5</v>
      </c>
      <c r="C20" s="45" t="s">
        <v>146</v>
      </c>
      <c r="D20" s="44" t="s">
        <v>11</v>
      </c>
      <c r="E20" s="46">
        <v>4</v>
      </c>
      <c r="F20" s="54" t="s">
        <v>147</v>
      </c>
    </row>
    <row r="21" spans="2:6">
      <c r="B21" s="9">
        <v>6</v>
      </c>
      <c r="C21" s="86" t="s">
        <v>265</v>
      </c>
      <c r="D21" s="9" t="s">
        <v>322</v>
      </c>
      <c r="E21" s="17">
        <v>12</v>
      </c>
      <c r="F21" s="77" t="s">
        <v>266</v>
      </c>
    </row>
    <row r="22" spans="2:6">
      <c r="B22" s="9">
        <v>7</v>
      </c>
      <c r="C22" s="86" t="s">
        <v>267</v>
      </c>
      <c r="D22" s="9" t="s">
        <v>322</v>
      </c>
      <c r="E22" s="17">
        <v>12</v>
      </c>
      <c r="F22" s="53" t="s">
        <v>268</v>
      </c>
    </row>
    <row r="23" spans="2:6">
      <c r="B23" s="9">
        <v>8</v>
      </c>
      <c r="C23" s="86" t="s">
        <v>269</v>
      </c>
      <c r="D23" s="9" t="s">
        <v>322</v>
      </c>
      <c r="E23" s="17">
        <v>20</v>
      </c>
      <c r="F23" s="53" t="s">
        <v>270</v>
      </c>
    </row>
    <row r="24" spans="2:6">
      <c r="B24" s="9">
        <v>9</v>
      </c>
      <c r="C24" s="86" t="s">
        <v>271</v>
      </c>
      <c r="D24" s="9" t="s">
        <v>322</v>
      </c>
      <c r="E24" s="17">
        <v>12</v>
      </c>
      <c r="F24" s="53" t="s">
        <v>272</v>
      </c>
    </row>
    <row r="25" spans="2:6">
      <c r="B25" s="9">
        <v>10</v>
      </c>
      <c r="C25" s="86" t="s">
        <v>273</v>
      </c>
      <c r="D25" s="9" t="s">
        <v>322</v>
      </c>
      <c r="E25" s="17">
        <v>12</v>
      </c>
      <c r="F25" s="53" t="s">
        <v>274</v>
      </c>
    </row>
    <row r="26" spans="2:6">
      <c r="B26" s="9">
        <v>11</v>
      </c>
      <c r="C26" s="86" t="s">
        <v>275</v>
      </c>
      <c r="D26" s="9" t="s">
        <v>322</v>
      </c>
      <c r="E26" s="17">
        <v>12</v>
      </c>
      <c r="F26" s="53" t="s">
        <v>276</v>
      </c>
    </row>
    <row r="27" spans="2:6">
      <c r="B27" s="9">
        <v>12</v>
      </c>
      <c r="C27" s="86" t="s">
        <v>277</v>
      </c>
      <c r="D27" s="9" t="s">
        <v>322</v>
      </c>
      <c r="E27" s="17">
        <v>12</v>
      </c>
      <c r="F27" s="53" t="s">
        <v>278</v>
      </c>
    </row>
    <row r="28" spans="2:6">
      <c r="B28" s="9">
        <v>13</v>
      </c>
      <c r="C28" s="86" t="s">
        <v>279</v>
      </c>
      <c r="D28" s="9" t="s">
        <v>322</v>
      </c>
      <c r="E28" s="17">
        <v>12</v>
      </c>
      <c r="F28" s="53" t="s">
        <v>280</v>
      </c>
    </row>
    <row r="29" spans="2:6">
      <c r="B29" s="19">
        <v>14</v>
      </c>
      <c r="C29" s="87" t="s">
        <v>149</v>
      </c>
      <c r="D29" s="19" t="s">
        <v>150</v>
      </c>
      <c r="E29" s="57">
        <v>124</v>
      </c>
      <c r="F29" s="73"/>
    </row>
    <row r="30" spans="2:6">
      <c r="B30" s="50"/>
      <c r="C30" s="51"/>
      <c r="D30" s="50"/>
      <c r="E30" s="52">
        <f>SUM(E16:E29)</f>
        <v>256</v>
      </c>
      <c r="F30" s="51"/>
    </row>
    <row r="31" spans="2:6" ht="14.25" thickBot="1"/>
    <row r="32" spans="2:6" ht="14.25" thickBot="1">
      <c r="B32" s="7" t="s">
        <v>2</v>
      </c>
      <c r="C32" s="8" t="s">
        <v>3</v>
      </c>
      <c r="D32" s="8" t="s">
        <v>4</v>
      </c>
      <c r="E32" s="102" t="s">
        <v>311</v>
      </c>
      <c r="F32" s="8" t="s">
        <v>6</v>
      </c>
    </row>
    <row r="33" spans="2:6" ht="14.25" thickTop="1">
      <c r="B33" s="105">
        <v>1</v>
      </c>
      <c r="C33" s="106" t="s">
        <v>82</v>
      </c>
      <c r="D33" s="107" t="s">
        <v>8</v>
      </c>
      <c r="E33" s="108">
        <v>8</v>
      </c>
      <c r="F33" s="117"/>
    </row>
    <row r="34" spans="2:6" ht="14.25" thickBot="1">
      <c r="B34" s="109">
        <v>2</v>
      </c>
      <c r="C34" s="110" t="s">
        <v>84</v>
      </c>
      <c r="D34" s="111" t="s">
        <v>11</v>
      </c>
      <c r="E34" s="112">
        <v>6</v>
      </c>
      <c r="F34" s="118"/>
    </row>
    <row r="35" spans="2:6" ht="14.25" thickTop="1">
      <c r="B35" s="44">
        <v>3</v>
      </c>
      <c r="C35" s="45" t="s">
        <v>137</v>
      </c>
      <c r="D35" s="44">
        <v>9</v>
      </c>
      <c r="E35" s="46">
        <v>9</v>
      </c>
      <c r="F35" s="54"/>
    </row>
    <row r="36" spans="2:6">
      <c r="B36" s="79">
        <v>4</v>
      </c>
      <c r="C36" s="80" t="s">
        <v>145</v>
      </c>
      <c r="D36" s="79" t="s">
        <v>11</v>
      </c>
      <c r="E36" s="81">
        <v>1</v>
      </c>
      <c r="F36" s="82" t="s">
        <v>194</v>
      </c>
    </row>
    <row r="37" spans="2:6">
      <c r="B37" s="44">
        <v>5</v>
      </c>
      <c r="C37" s="45" t="s">
        <v>146</v>
      </c>
      <c r="D37" s="44" t="s">
        <v>11</v>
      </c>
      <c r="E37" s="46">
        <v>4</v>
      </c>
      <c r="F37" s="54" t="s">
        <v>147</v>
      </c>
    </row>
    <row r="38" spans="2:6" ht="22.5">
      <c r="B38" s="88">
        <v>6</v>
      </c>
      <c r="C38" s="89" t="s">
        <v>179</v>
      </c>
      <c r="D38" s="88" t="s">
        <v>11</v>
      </c>
      <c r="E38" s="90">
        <v>1</v>
      </c>
      <c r="F38" s="96" t="s">
        <v>281</v>
      </c>
    </row>
    <row r="39" spans="2:6">
      <c r="B39" s="44">
        <v>7</v>
      </c>
      <c r="C39" s="84" t="s">
        <v>282</v>
      </c>
      <c r="D39" s="44" t="s">
        <v>11</v>
      </c>
      <c r="E39" s="46">
        <v>20</v>
      </c>
      <c r="F39" s="54" t="s">
        <v>295</v>
      </c>
    </row>
    <row r="40" spans="2:6">
      <c r="B40" s="44">
        <v>8</v>
      </c>
      <c r="C40" s="84" t="s">
        <v>283</v>
      </c>
      <c r="D40" s="44" t="s">
        <v>322</v>
      </c>
      <c r="E40" s="46">
        <v>14</v>
      </c>
      <c r="F40" s="54" t="s">
        <v>284</v>
      </c>
    </row>
    <row r="41" spans="2:6">
      <c r="B41" s="44">
        <v>9</v>
      </c>
      <c r="C41" s="84" t="s">
        <v>285</v>
      </c>
      <c r="D41" s="44" t="s">
        <v>11</v>
      </c>
      <c r="E41" s="46">
        <v>20</v>
      </c>
      <c r="F41" s="97" t="s">
        <v>296</v>
      </c>
    </row>
    <row r="42" spans="2:6">
      <c r="B42" s="44">
        <v>10</v>
      </c>
      <c r="C42" s="84" t="s">
        <v>286</v>
      </c>
      <c r="D42" s="44" t="s">
        <v>11</v>
      </c>
      <c r="E42" s="46">
        <v>10</v>
      </c>
      <c r="F42" s="54" t="s">
        <v>237</v>
      </c>
    </row>
    <row r="43" spans="2:6">
      <c r="B43" s="44">
        <v>11</v>
      </c>
      <c r="C43" s="84" t="s">
        <v>287</v>
      </c>
      <c r="D43" s="44" t="s">
        <v>11</v>
      </c>
      <c r="E43" s="46">
        <v>10</v>
      </c>
      <c r="F43" s="54" t="s">
        <v>237</v>
      </c>
    </row>
    <row r="44" spans="2:6">
      <c r="B44" s="44">
        <v>12</v>
      </c>
      <c r="C44" s="84" t="s">
        <v>288</v>
      </c>
      <c r="D44" s="44" t="s">
        <v>11</v>
      </c>
      <c r="E44" s="46">
        <v>10</v>
      </c>
      <c r="F44" s="54"/>
    </row>
    <row r="45" spans="2:6">
      <c r="B45" s="44">
        <v>13</v>
      </c>
      <c r="C45" s="84" t="s">
        <v>289</v>
      </c>
      <c r="D45" s="44" t="s">
        <v>322</v>
      </c>
      <c r="E45" s="46">
        <v>40</v>
      </c>
      <c r="F45" s="54" t="s">
        <v>290</v>
      </c>
    </row>
    <row r="46" spans="2:6">
      <c r="B46" s="44">
        <v>14</v>
      </c>
      <c r="C46" s="84" t="s">
        <v>291</v>
      </c>
      <c r="D46" s="44" t="s">
        <v>322</v>
      </c>
      <c r="E46" s="46">
        <v>40</v>
      </c>
      <c r="F46" s="54" t="s">
        <v>292</v>
      </c>
    </row>
    <row r="47" spans="2:6">
      <c r="B47" s="44">
        <v>15</v>
      </c>
      <c r="C47" s="84" t="s">
        <v>185</v>
      </c>
      <c r="D47" s="44" t="s">
        <v>11</v>
      </c>
      <c r="E47" s="46">
        <v>1</v>
      </c>
      <c r="F47" s="54" t="s">
        <v>186</v>
      </c>
    </row>
    <row r="48" spans="2:6">
      <c r="B48" s="44">
        <v>16</v>
      </c>
      <c r="C48" s="84" t="s">
        <v>153</v>
      </c>
      <c r="D48" s="44">
        <v>9</v>
      </c>
      <c r="E48" s="46">
        <v>9</v>
      </c>
      <c r="F48" s="54" t="s">
        <v>187</v>
      </c>
    </row>
    <row r="49" spans="2:6">
      <c r="B49" s="44">
        <v>17</v>
      </c>
      <c r="C49" s="84" t="s">
        <v>188</v>
      </c>
      <c r="D49" s="44" t="s">
        <v>297</v>
      </c>
      <c r="E49" s="46">
        <v>1</v>
      </c>
      <c r="F49" s="54" t="s">
        <v>186</v>
      </c>
    </row>
    <row r="50" spans="2:6">
      <c r="B50" s="44">
        <v>18</v>
      </c>
      <c r="C50" s="84" t="s">
        <v>157</v>
      </c>
      <c r="D50" s="44">
        <v>9</v>
      </c>
      <c r="E50" s="46">
        <v>9</v>
      </c>
      <c r="F50" s="54" t="s">
        <v>187</v>
      </c>
    </row>
    <row r="51" spans="2:6">
      <c r="B51" s="44">
        <v>19</v>
      </c>
      <c r="C51" s="84" t="s">
        <v>189</v>
      </c>
      <c r="D51" s="44" t="s">
        <v>297</v>
      </c>
      <c r="E51" s="46">
        <v>1</v>
      </c>
      <c r="F51" s="54" t="s">
        <v>186</v>
      </c>
    </row>
    <row r="52" spans="2:6">
      <c r="B52" s="44">
        <v>20</v>
      </c>
      <c r="C52" s="84" t="s">
        <v>161</v>
      </c>
      <c r="D52" s="44">
        <v>9</v>
      </c>
      <c r="E52" s="46">
        <v>9</v>
      </c>
      <c r="F52" s="54" t="s">
        <v>187</v>
      </c>
    </row>
    <row r="53" spans="2:6">
      <c r="B53" s="91">
        <v>21</v>
      </c>
      <c r="C53" s="92" t="s">
        <v>6</v>
      </c>
      <c r="D53" s="91" t="s">
        <v>322</v>
      </c>
      <c r="E53" s="93">
        <v>20</v>
      </c>
      <c r="F53" s="98" t="s">
        <v>293</v>
      </c>
    </row>
    <row r="54" spans="2:6">
      <c r="B54" s="58"/>
      <c r="C54" s="94"/>
      <c r="D54" s="58"/>
      <c r="E54" s="60"/>
      <c r="F54" s="99" t="s">
        <v>294</v>
      </c>
    </row>
    <row r="55" spans="2:6">
      <c r="B55" s="19">
        <v>22</v>
      </c>
      <c r="C55" s="87" t="s">
        <v>149</v>
      </c>
      <c r="D55" s="19" t="s">
        <v>11</v>
      </c>
      <c r="E55" s="57">
        <v>13</v>
      </c>
      <c r="F55" s="73"/>
    </row>
    <row r="56" spans="2:6">
      <c r="B56" s="50"/>
      <c r="C56" s="95"/>
      <c r="D56" s="50"/>
      <c r="E56" s="52">
        <f>SUM(E33:E55)</f>
        <v>256</v>
      </c>
      <c r="F56" s="70"/>
    </row>
    <row r="57" spans="2:6" ht="14.25" thickBot="1"/>
    <row r="58" spans="2:6" ht="14.25" thickBot="1">
      <c r="B58" s="7" t="s">
        <v>2</v>
      </c>
      <c r="C58" s="8" t="s">
        <v>3</v>
      </c>
      <c r="D58" s="8" t="s">
        <v>4</v>
      </c>
      <c r="E58" s="102" t="s">
        <v>311</v>
      </c>
      <c r="F58" s="8" t="s">
        <v>6</v>
      </c>
    </row>
    <row r="59" spans="2:6" ht="14.25" thickTop="1">
      <c r="B59" s="105">
        <v>1</v>
      </c>
      <c r="C59" s="106" t="s">
        <v>82</v>
      </c>
      <c r="D59" s="107" t="s">
        <v>8</v>
      </c>
      <c r="E59" s="108">
        <v>8</v>
      </c>
      <c r="F59" s="117"/>
    </row>
    <row r="60" spans="2:6" ht="14.25" thickBot="1">
      <c r="B60" s="109">
        <v>2</v>
      </c>
      <c r="C60" s="110" t="s">
        <v>84</v>
      </c>
      <c r="D60" s="111" t="s">
        <v>11</v>
      </c>
      <c r="E60" s="112">
        <v>6</v>
      </c>
      <c r="F60" s="118"/>
    </row>
    <row r="61" spans="2:6" ht="14.25" thickTop="1">
      <c r="B61" s="44">
        <v>3</v>
      </c>
      <c r="C61" s="45" t="s">
        <v>137</v>
      </c>
      <c r="D61" s="44">
        <v>9</v>
      </c>
      <c r="E61" s="46">
        <v>9</v>
      </c>
      <c r="F61" s="54"/>
    </row>
    <row r="62" spans="2:6">
      <c r="B62" s="79">
        <v>4</v>
      </c>
      <c r="C62" s="80" t="s">
        <v>145</v>
      </c>
      <c r="D62" s="79" t="s">
        <v>11</v>
      </c>
      <c r="E62" s="81">
        <v>1</v>
      </c>
      <c r="F62" s="82" t="s">
        <v>198</v>
      </c>
    </row>
    <row r="63" spans="2:6">
      <c r="B63" s="44">
        <v>5</v>
      </c>
      <c r="C63" s="45" t="s">
        <v>146</v>
      </c>
      <c r="D63" s="44" t="s">
        <v>11</v>
      </c>
      <c r="E63" s="46">
        <v>4</v>
      </c>
      <c r="F63" s="54" t="s">
        <v>147</v>
      </c>
    </row>
    <row r="64" spans="2:6">
      <c r="B64" s="44">
        <v>6</v>
      </c>
      <c r="C64" s="84" t="s">
        <v>195</v>
      </c>
      <c r="D64" s="44" t="s">
        <v>322</v>
      </c>
      <c r="E64" s="46">
        <v>100</v>
      </c>
      <c r="F64" s="54"/>
    </row>
    <row r="65" spans="2:6">
      <c r="B65" s="44">
        <v>7</v>
      </c>
      <c r="C65" s="84" t="s">
        <v>197</v>
      </c>
      <c r="D65" s="44" t="s">
        <v>322</v>
      </c>
      <c r="E65" s="46">
        <v>100</v>
      </c>
      <c r="F65" s="54"/>
    </row>
    <row r="66" spans="2:6">
      <c r="B66" s="47">
        <v>8</v>
      </c>
      <c r="C66" s="85" t="s">
        <v>149</v>
      </c>
      <c r="D66" s="47" t="s">
        <v>150</v>
      </c>
      <c r="E66" s="49">
        <v>28</v>
      </c>
      <c r="F66" s="56"/>
    </row>
    <row r="67" spans="2:6">
      <c r="B67" s="50"/>
      <c r="C67" s="51"/>
      <c r="D67" s="50"/>
      <c r="E67" s="52">
        <f>SUM(E59:E66)</f>
        <v>256</v>
      </c>
      <c r="F67" s="51"/>
    </row>
  </sheetData>
  <mergeCells count="1">
    <mergeCell ref="B1:F2"/>
  </mergeCells>
  <phoneticPr fontId="4"/>
  <pageMargins left="0.39370078740157483" right="0.39370078740157483" top="0.19685039370078741" bottom="0.31496062992125984" header="0.51181102362204722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showGridLines="0" zoomScaleNormal="100" zoomScaleSheetLayoutView="100" workbookViewId="0"/>
  </sheetViews>
  <sheetFormatPr defaultColWidth="9" defaultRowHeight="13.5"/>
  <cols>
    <col min="1" max="1" width="2.75" style="23" customWidth="1"/>
    <col min="2" max="2" width="4.75" style="23" customWidth="1"/>
    <col min="3" max="3" width="18.5" style="23" customWidth="1"/>
    <col min="4" max="4" width="5.625" style="43" customWidth="1"/>
    <col min="5" max="5" width="5.625" style="28" customWidth="1"/>
    <col min="6" max="6" width="54.375" style="23" customWidth="1"/>
    <col min="7" max="7" width="3.25" style="23" customWidth="1"/>
    <col min="8" max="16384" width="9" style="23"/>
  </cols>
  <sheetData>
    <row r="1" spans="1:6" ht="14.25">
      <c r="A1" s="1"/>
      <c r="B1" s="135" t="s">
        <v>298</v>
      </c>
      <c r="C1" s="135"/>
      <c r="D1" s="135"/>
      <c r="E1" s="135"/>
      <c r="F1" s="135"/>
    </row>
    <row r="2" spans="1:6" ht="14.25">
      <c r="A2" s="1"/>
      <c r="B2" s="135"/>
      <c r="C2" s="135"/>
      <c r="D2" s="135"/>
      <c r="E2" s="135"/>
      <c r="F2" s="135"/>
    </row>
    <row r="3" spans="1:6">
      <c r="A3" s="24"/>
      <c r="B3" s="25"/>
      <c r="D3" s="26"/>
      <c r="E3" s="27"/>
    </row>
    <row r="4" spans="1:6" ht="14.25" thickBot="1">
      <c r="B4" s="23" t="s">
        <v>299</v>
      </c>
      <c r="D4" s="23"/>
      <c r="F4" s="133" t="s">
        <v>326</v>
      </c>
    </row>
    <row r="5" spans="1:6" ht="14.25" thickBot="1">
      <c r="B5" s="7" t="s">
        <v>2</v>
      </c>
      <c r="C5" s="8" t="s">
        <v>3</v>
      </c>
      <c r="D5" s="8" t="s">
        <v>4</v>
      </c>
      <c r="E5" s="102" t="s">
        <v>311</v>
      </c>
      <c r="F5" s="8" t="s">
        <v>6</v>
      </c>
    </row>
    <row r="6" spans="1:6" ht="14.25" thickTop="1">
      <c r="B6" s="105">
        <v>1</v>
      </c>
      <c r="C6" s="106" t="s">
        <v>82</v>
      </c>
      <c r="D6" s="107" t="s">
        <v>8</v>
      </c>
      <c r="E6" s="108">
        <v>8</v>
      </c>
      <c r="F6" s="117"/>
    </row>
    <row r="7" spans="1:6" ht="14.25" thickBot="1">
      <c r="B7" s="109">
        <v>2</v>
      </c>
      <c r="C7" s="110" t="s">
        <v>84</v>
      </c>
      <c r="D7" s="111" t="s">
        <v>11</v>
      </c>
      <c r="E7" s="112">
        <v>6</v>
      </c>
      <c r="F7" s="118"/>
    </row>
    <row r="8" spans="1:6" ht="14.25" thickTop="1">
      <c r="B8" s="44">
        <v>3</v>
      </c>
      <c r="C8" s="84" t="s">
        <v>298</v>
      </c>
      <c r="D8" s="44" t="s">
        <v>322</v>
      </c>
      <c r="E8" s="46">
        <v>270</v>
      </c>
      <c r="F8" s="100"/>
    </row>
    <row r="9" spans="1:6">
      <c r="B9" s="47">
        <v>4</v>
      </c>
      <c r="C9" s="85" t="s">
        <v>149</v>
      </c>
      <c r="D9" s="47" t="s">
        <v>150</v>
      </c>
      <c r="E9" s="49">
        <v>16</v>
      </c>
      <c r="F9" s="56"/>
    </row>
    <row r="10" spans="1:6">
      <c r="B10" s="50"/>
      <c r="C10" s="51"/>
      <c r="D10" s="50"/>
      <c r="E10" s="52">
        <f>SUM(E6:E9)</f>
        <v>300</v>
      </c>
      <c r="F10" s="51"/>
    </row>
    <row r="14" spans="1:6" ht="14.25">
      <c r="A14" s="1"/>
      <c r="B14" s="135" t="s">
        <v>302</v>
      </c>
      <c r="C14" s="135"/>
      <c r="D14" s="135"/>
      <c r="E14" s="135"/>
      <c r="F14" s="135"/>
    </row>
    <row r="15" spans="1:6" ht="14.25">
      <c r="A15" s="1"/>
      <c r="B15" s="135"/>
      <c r="C15" s="135"/>
      <c r="D15" s="135"/>
      <c r="E15" s="135"/>
      <c r="F15" s="135"/>
    </row>
    <row r="16" spans="1:6">
      <c r="A16" s="24"/>
      <c r="B16" s="25"/>
      <c r="D16" s="26"/>
      <c r="E16" s="27"/>
    </row>
    <row r="17" spans="1:6" ht="14.25" thickBot="1">
      <c r="B17" s="23" t="s">
        <v>301</v>
      </c>
      <c r="D17" s="23"/>
    </row>
    <row r="18" spans="1:6" ht="14.25" thickBot="1">
      <c r="B18" s="7" t="s">
        <v>2</v>
      </c>
      <c r="C18" s="8" t="s">
        <v>3</v>
      </c>
      <c r="D18" s="8" t="s">
        <v>4</v>
      </c>
      <c r="E18" s="102" t="s">
        <v>311</v>
      </c>
      <c r="F18" s="8" t="s">
        <v>6</v>
      </c>
    </row>
    <row r="19" spans="1:6" ht="14.25" thickTop="1">
      <c r="B19" s="105">
        <v>1</v>
      </c>
      <c r="C19" s="106" t="s">
        <v>82</v>
      </c>
      <c r="D19" s="107" t="s">
        <v>8</v>
      </c>
      <c r="E19" s="108">
        <v>8</v>
      </c>
      <c r="F19" s="117"/>
    </row>
    <row r="20" spans="1:6" ht="14.25" thickBot="1">
      <c r="B20" s="109">
        <v>2</v>
      </c>
      <c r="C20" s="110" t="s">
        <v>84</v>
      </c>
      <c r="D20" s="111" t="s">
        <v>11</v>
      </c>
      <c r="E20" s="112">
        <v>6</v>
      </c>
      <c r="F20" s="118"/>
    </row>
    <row r="21" spans="1:6" ht="14.25" thickTop="1">
      <c r="B21" s="44">
        <v>3</v>
      </c>
      <c r="C21" s="84" t="s">
        <v>300</v>
      </c>
      <c r="D21" s="44" t="s">
        <v>322</v>
      </c>
      <c r="E21" s="46">
        <v>150</v>
      </c>
      <c r="F21" s="100"/>
    </row>
    <row r="22" spans="1:6">
      <c r="B22" s="47">
        <v>4</v>
      </c>
      <c r="C22" s="85" t="s">
        <v>149</v>
      </c>
      <c r="D22" s="47" t="s">
        <v>150</v>
      </c>
      <c r="E22" s="49">
        <v>136</v>
      </c>
      <c r="F22" s="56"/>
    </row>
    <row r="23" spans="1:6">
      <c r="B23" s="50"/>
      <c r="C23" s="51"/>
      <c r="D23" s="50"/>
      <c r="E23" s="52">
        <f>SUM(E19:E22)</f>
        <v>300</v>
      </c>
      <c r="F23" s="51"/>
    </row>
    <row r="24" spans="1:6">
      <c r="B24" s="50"/>
      <c r="C24" s="51"/>
      <c r="D24" s="50"/>
      <c r="E24" s="52"/>
      <c r="F24" s="51"/>
    </row>
    <row r="27" spans="1:6" ht="14.25">
      <c r="A27" s="1"/>
      <c r="B27" s="135" t="s">
        <v>304</v>
      </c>
      <c r="C27" s="135"/>
      <c r="D27" s="135"/>
      <c r="E27" s="135"/>
      <c r="F27" s="135"/>
    </row>
    <row r="28" spans="1:6" ht="14.25">
      <c r="A28" s="1"/>
      <c r="B28" s="135"/>
      <c r="C28" s="135"/>
      <c r="D28" s="135"/>
      <c r="E28" s="135"/>
      <c r="F28" s="135"/>
    </row>
    <row r="29" spans="1:6">
      <c r="A29" s="24"/>
      <c r="B29" s="25"/>
      <c r="D29" s="26"/>
      <c r="E29" s="27"/>
    </row>
    <row r="30" spans="1:6" ht="14.25" thickBot="1">
      <c r="B30" s="23" t="s">
        <v>305</v>
      </c>
      <c r="D30" s="23"/>
    </row>
    <row r="31" spans="1:6" ht="14.25" thickBot="1">
      <c r="B31" s="7" t="s">
        <v>2</v>
      </c>
      <c r="C31" s="8" t="s">
        <v>3</v>
      </c>
      <c r="D31" s="8" t="s">
        <v>4</v>
      </c>
      <c r="E31" s="102" t="s">
        <v>311</v>
      </c>
      <c r="F31" s="8" t="s">
        <v>6</v>
      </c>
    </row>
    <row r="32" spans="1:6" ht="14.25" thickTop="1">
      <c r="B32" s="105">
        <v>1</v>
      </c>
      <c r="C32" s="106" t="s">
        <v>82</v>
      </c>
      <c r="D32" s="107" t="s">
        <v>8</v>
      </c>
      <c r="E32" s="108">
        <v>8</v>
      </c>
      <c r="F32" s="117"/>
    </row>
    <row r="33" spans="1:6" ht="14.25" thickBot="1">
      <c r="B33" s="109">
        <v>2</v>
      </c>
      <c r="C33" s="110" t="s">
        <v>84</v>
      </c>
      <c r="D33" s="111" t="s">
        <v>11</v>
      </c>
      <c r="E33" s="112">
        <v>6</v>
      </c>
      <c r="F33" s="118"/>
    </row>
    <row r="34" spans="1:6" ht="14.25" thickTop="1">
      <c r="B34" s="44">
        <v>3</v>
      </c>
      <c r="C34" s="45" t="s">
        <v>306</v>
      </c>
      <c r="D34" s="44" t="s">
        <v>11</v>
      </c>
      <c r="E34" s="46">
        <v>4</v>
      </c>
      <c r="F34" s="54"/>
    </row>
    <row r="35" spans="1:6">
      <c r="B35" s="44">
        <v>4</v>
      </c>
      <c r="C35" s="45" t="s">
        <v>139</v>
      </c>
      <c r="D35" s="44" t="s">
        <v>322</v>
      </c>
      <c r="E35" s="46">
        <v>20</v>
      </c>
      <c r="F35" s="54"/>
    </row>
    <row r="36" spans="1:6">
      <c r="B36" s="44">
        <v>5</v>
      </c>
      <c r="C36" s="45" t="s">
        <v>307</v>
      </c>
      <c r="D36" s="44" t="s">
        <v>11</v>
      </c>
      <c r="E36" s="46">
        <v>1</v>
      </c>
      <c r="F36" s="54" t="s">
        <v>186</v>
      </c>
    </row>
    <row r="37" spans="1:6">
      <c r="B37" s="44">
        <v>6</v>
      </c>
      <c r="C37" s="45" t="s">
        <v>308</v>
      </c>
      <c r="D37" s="44">
        <v>9</v>
      </c>
      <c r="E37" s="46">
        <v>9</v>
      </c>
      <c r="F37" s="54" t="s">
        <v>187</v>
      </c>
    </row>
    <row r="38" spans="1:6">
      <c r="B38" s="44">
        <v>7</v>
      </c>
      <c r="C38" s="45" t="s">
        <v>309</v>
      </c>
      <c r="D38" s="44" t="s">
        <v>11</v>
      </c>
      <c r="E38" s="46">
        <v>1</v>
      </c>
      <c r="F38" s="54" t="s">
        <v>186</v>
      </c>
    </row>
    <row r="39" spans="1:6">
      <c r="B39" s="44">
        <v>8</v>
      </c>
      <c r="C39" s="45" t="s">
        <v>310</v>
      </c>
      <c r="D39" s="44">
        <v>9</v>
      </c>
      <c r="E39" s="46">
        <v>9</v>
      </c>
      <c r="F39" s="54" t="s">
        <v>187</v>
      </c>
    </row>
    <row r="40" spans="1:6">
      <c r="B40" s="19">
        <v>9</v>
      </c>
      <c r="C40" s="20" t="s">
        <v>149</v>
      </c>
      <c r="D40" s="19" t="s">
        <v>150</v>
      </c>
      <c r="E40" s="57">
        <v>70</v>
      </c>
      <c r="F40" s="73"/>
    </row>
    <row r="41" spans="1:6">
      <c r="B41"/>
      <c r="C41"/>
      <c r="D41" s="22"/>
      <c r="E41" s="101">
        <f>SUM(E32:E40)</f>
        <v>128</v>
      </c>
      <c r="F41"/>
    </row>
    <row r="42" spans="1:6">
      <c r="B42" s="50"/>
      <c r="C42" s="51"/>
      <c r="D42" s="50"/>
      <c r="E42" s="52"/>
      <c r="F42" s="51"/>
    </row>
    <row r="44" spans="1:6" ht="14.25">
      <c r="A44" s="1"/>
      <c r="B44" s="135" t="s">
        <v>313</v>
      </c>
      <c r="C44" s="135"/>
      <c r="D44" s="135"/>
      <c r="E44" s="135"/>
      <c r="F44" s="135"/>
    </row>
    <row r="45" spans="1:6" ht="14.25">
      <c r="A45" s="1"/>
      <c r="B45" s="135"/>
      <c r="C45" s="135"/>
      <c r="D45" s="135"/>
      <c r="E45" s="135"/>
      <c r="F45" s="135"/>
    </row>
    <row r="46" spans="1:6">
      <c r="A46" s="24"/>
      <c r="B46" s="25"/>
      <c r="D46" s="26"/>
      <c r="E46" s="27"/>
    </row>
    <row r="47" spans="1:6" ht="14.25" thickBot="1">
      <c r="B47" s="23" t="s">
        <v>314</v>
      </c>
      <c r="D47" s="23"/>
    </row>
    <row r="48" spans="1:6" ht="14.25" thickBot="1">
      <c r="B48" s="7" t="s">
        <v>2</v>
      </c>
      <c r="C48" s="8" t="s">
        <v>3</v>
      </c>
      <c r="D48" s="8" t="s">
        <v>4</v>
      </c>
      <c r="E48" s="102" t="s">
        <v>311</v>
      </c>
      <c r="F48" s="8" t="s">
        <v>6</v>
      </c>
    </row>
    <row r="49" spans="2:6" ht="14.25" thickTop="1">
      <c r="B49" s="105">
        <v>1</v>
      </c>
      <c r="C49" s="106" t="s">
        <v>82</v>
      </c>
      <c r="D49" s="107" t="s">
        <v>8</v>
      </c>
      <c r="E49" s="108">
        <v>8</v>
      </c>
      <c r="F49" s="117"/>
    </row>
    <row r="50" spans="2:6" ht="14.25" thickBot="1">
      <c r="B50" s="109">
        <v>2</v>
      </c>
      <c r="C50" s="110" t="s">
        <v>84</v>
      </c>
      <c r="D50" s="111" t="s">
        <v>11</v>
      </c>
      <c r="E50" s="112">
        <v>6</v>
      </c>
      <c r="F50" s="118"/>
    </row>
    <row r="51" spans="2:6" ht="14.25" thickTop="1">
      <c r="B51" s="44">
        <v>3</v>
      </c>
      <c r="C51" s="45" t="s">
        <v>315</v>
      </c>
      <c r="D51" s="44" t="s">
        <v>322</v>
      </c>
      <c r="E51" s="46">
        <v>12</v>
      </c>
      <c r="F51" s="54" t="s">
        <v>317</v>
      </c>
    </row>
    <row r="52" spans="2:6">
      <c r="B52" s="44">
        <v>4</v>
      </c>
      <c r="C52" s="45" t="s">
        <v>316</v>
      </c>
      <c r="D52" s="44" t="s">
        <v>150</v>
      </c>
      <c r="E52" s="46">
        <v>10</v>
      </c>
      <c r="F52" s="54"/>
    </row>
    <row r="53" spans="2:6">
      <c r="B53" s="19">
        <v>5</v>
      </c>
      <c r="C53" s="20" t="s">
        <v>149</v>
      </c>
      <c r="D53" s="19" t="s">
        <v>150</v>
      </c>
      <c r="E53" s="57">
        <v>4</v>
      </c>
      <c r="F53" s="73"/>
    </row>
    <row r="54" spans="2:6">
      <c r="B54"/>
      <c r="C54"/>
      <c r="D54" s="22"/>
      <c r="E54" s="101">
        <f>SUM(E49:E53)</f>
        <v>40</v>
      </c>
      <c r="F54"/>
    </row>
  </sheetData>
  <mergeCells count="4">
    <mergeCell ref="B1:F2"/>
    <mergeCell ref="B14:F15"/>
    <mergeCell ref="B27:F28"/>
    <mergeCell ref="B44:F45"/>
  </mergeCells>
  <phoneticPr fontId="4"/>
  <pageMargins left="0.39370078740157483" right="0.39370078740157483" top="0.19685039370078741" bottom="0.31496062992125984" header="0.51181102362204722" footer="0.31496062992125984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25"/>
  <sheetViews>
    <sheetView showGridLines="0" tabSelected="1" zoomScaleNormal="100" zoomScaleSheetLayoutView="100" workbookViewId="0">
      <selection activeCell="D22" sqref="D22:F22"/>
    </sheetView>
  </sheetViews>
  <sheetFormatPr defaultColWidth="9" defaultRowHeight="13.5"/>
  <cols>
    <col min="1" max="1" width="2.75" style="23" customWidth="1"/>
    <col min="2" max="2" width="4.75" style="23" customWidth="1"/>
    <col min="3" max="3" width="18.5" style="23" customWidth="1"/>
    <col min="4" max="4" width="5.625" style="43" customWidth="1"/>
    <col min="5" max="5" width="5.625" style="28" customWidth="1"/>
    <col min="6" max="6" width="54.375" style="23" customWidth="1"/>
    <col min="7" max="7" width="3.25" style="23" customWidth="1"/>
    <col min="8" max="16384" width="9" style="23"/>
  </cols>
  <sheetData>
    <row r="1" spans="1:6" ht="14.25">
      <c r="A1" s="1"/>
      <c r="B1" s="135" t="s">
        <v>318</v>
      </c>
      <c r="C1" s="135"/>
      <c r="D1" s="135"/>
      <c r="E1" s="135"/>
      <c r="F1" s="135"/>
    </row>
    <row r="2" spans="1:6" ht="14.25">
      <c r="A2" s="1"/>
      <c r="B2" s="135"/>
      <c r="C2" s="135"/>
      <c r="D2" s="135"/>
      <c r="E2" s="135"/>
      <c r="F2" s="135"/>
    </row>
    <row r="3" spans="1:6">
      <c r="A3" s="24"/>
      <c r="B3" s="25"/>
      <c r="D3" s="26"/>
      <c r="E3" s="27"/>
    </row>
    <row r="4" spans="1:6" ht="14.25" thickBot="1">
      <c r="B4" s="103" t="s">
        <v>327</v>
      </c>
      <c r="D4" s="23"/>
      <c r="F4" s="133" t="s">
        <v>326</v>
      </c>
    </row>
    <row r="5" spans="1:6" ht="14.25" thickBot="1">
      <c r="B5" s="7" t="s">
        <v>2</v>
      </c>
      <c r="C5" s="8" t="s">
        <v>3</v>
      </c>
      <c r="D5" s="8" t="s">
        <v>4</v>
      </c>
      <c r="E5" s="102" t="s">
        <v>311</v>
      </c>
      <c r="F5" s="8" t="s">
        <v>6</v>
      </c>
    </row>
    <row r="6" spans="1:6" ht="15" thickTop="1" thickBot="1">
      <c r="B6" s="128">
        <v>1</v>
      </c>
      <c r="C6" s="129" t="s">
        <v>82</v>
      </c>
      <c r="D6" s="130" t="s">
        <v>8</v>
      </c>
      <c r="E6" s="131">
        <v>8</v>
      </c>
      <c r="F6" s="132"/>
    </row>
    <row r="7" spans="1:6" ht="14.25" thickTop="1">
      <c r="B7" s="58">
        <v>3</v>
      </c>
      <c r="C7" s="94" t="s">
        <v>319</v>
      </c>
      <c r="D7" s="58" t="s">
        <v>322</v>
      </c>
      <c r="E7" s="60">
        <v>40</v>
      </c>
      <c r="F7" s="127"/>
    </row>
    <row r="8" spans="1:6">
      <c r="B8" s="44">
        <v>4</v>
      </c>
      <c r="C8" s="84" t="s">
        <v>320</v>
      </c>
      <c r="D8" s="44" t="s">
        <v>322</v>
      </c>
      <c r="E8" s="46">
        <v>40</v>
      </c>
      <c r="F8" s="100"/>
    </row>
    <row r="9" spans="1:6">
      <c r="B9" s="44">
        <v>5</v>
      </c>
      <c r="C9" s="84" t="s">
        <v>58</v>
      </c>
      <c r="D9" s="44" t="s">
        <v>8</v>
      </c>
      <c r="E9" s="46">
        <v>1</v>
      </c>
      <c r="F9" s="100" t="s">
        <v>60</v>
      </c>
    </row>
    <row r="10" spans="1:6">
      <c r="B10" s="44">
        <v>6</v>
      </c>
      <c r="C10" s="84" t="s">
        <v>61</v>
      </c>
      <c r="D10" s="44" t="s">
        <v>8</v>
      </c>
      <c r="E10" s="46">
        <v>7</v>
      </c>
      <c r="F10" s="100"/>
    </row>
    <row r="11" spans="1:6">
      <c r="B11" s="44">
        <v>7</v>
      </c>
      <c r="C11" s="84" t="s">
        <v>64</v>
      </c>
      <c r="D11" s="44" t="s">
        <v>150</v>
      </c>
      <c r="E11" s="46">
        <v>34</v>
      </c>
      <c r="F11" s="100" t="s">
        <v>321</v>
      </c>
    </row>
    <row r="12" spans="1:6">
      <c r="B12" s="44">
        <v>8</v>
      </c>
      <c r="C12" s="84" t="s">
        <v>66</v>
      </c>
      <c r="D12" s="44" t="s">
        <v>322</v>
      </c>
      <c r="E12" s="46">
        <v>38</v>
      </c>
      <c r="F12" s="100"/>
    </row>
    <row r="13" spans="1:6">
      <c r="B13" s="44">
        <v>9</v>
      </c>
      <c r="C13" s="84" t="s">
        <v>67</v>
      </c>
      <c r="D13" s="44" t="s">
        <v>322</v>
      </c>
      <c r="E13" s="46">
        <v>38</v>
      </c>
      <c r="F13" s="100"/>
    </row>
    <row r="14" spans="1:6">
      <c r="B14" s="44">
        <v>10</v>
      </c>
      <c r="C14" s="84" t="s">
        <v>68</v>
      </c>
      <c r="D14" s="44" t="s">
        <v>322</v>
      </c>
      <c r="E14" s="46">
        <v>40</v>
      </c>
      <c r="F14" s="100"/>
    </row>
    <row r="15" spans="1:6">
      <c r="B15" s="44">
        <v>11</v>
      </c>
      <c r="C15" s="84" t="s">
        <v>70</v>
      </c>
      <c r="D15" s="44" t="s">
        <v>322</v>
      </c>
      <c r="E15" s="46">
        <v>40</v>
      </c>
      <c r="F15" s="100"/>
    </row>
    <row r="16" spans="1:6">
      <c r="B16" s="44">
        <v>12</v>
      </c>
      <c r="C16" s="84" t="s">
        <v>72</v>
      </c>
      <c r="D16" s="44" t="s">
        <v>322</v>
      </c>
      <c r="E16" s="46">
        <v>40</v>
      </c>
      <c r="F16" s="100"/>
    </row>
    <row r="17" spans="2:6">
      <c r="B17" s="44">
        <v>13</v>
      </c>
      <c r="C17" s="84" t="s">
        <v>73</v>
      </c>
      <c r="D17" s="44" t="s">
        <v>8</v>
      </c>
      <c r="E17" s="46">
        <v>20</v>
      </c>
      <c r="F17" s="100"/>
    </row>
    <row r="18" spans="2:6">
      <c r="B18" s="47">
        <v>14</v>
      </c>
      <c r="C18" s="85" t="s">
        <v>149</v>
      </c>
      <c r="D18" s="47" t="s">
        <v>150</v>
      </c>
      <c r="E18" s="49">
        <v>54</v>
      </c>
      <c r="F18" s="56"/>
    </row>
    <row r="19" spans="2:6">
      <c r="B19" s="50"/>
      <c r="C19" s="51"/>
      <c r="D19" s="50"/>
      <c r="E19" s="52">
        <f>SUM(E6:E18)</f>
        <v>400</v>
      </c>
      <c r="F19" s="51"/>
    </row>
    <row r="21" spans="2:6" ht="14.25" thickBot="1"/>
    <row r="22" spans="2:6" ht="23.25" customHeight="1" thickTop="1" thickBot="1">
      <c r="C22" s="134" t="s">
        <v>328</v>
      </c>
      <c r="D22" s="139"/>
      <c r="E22" s="139"/>
      <c r="F22" s="139"/>
    </row>
    <row r="23" spans="2:6" ht="15" thickTop="1" thickBot="1"/>
    <row r="24" spans="2:6" ht="23.25" customHeight="1" thickTop="1" thickBot="1">
      <c r="C24" s="134" t="s">
        <v>329</v>
      </c>
      <c r="D24" s="139"/>
      <c r="E24" s="139"/>
      <c r="F24" s="139"/>
    </row>
    <row r="25" spans="2:6" ht="14.25" thickTop="1"/>
  </sheetData>
  <mergeCells count="3">
    <mergeCell ref="B1:F2"/>
    <mergeCell ref="D22:F22"/>
    <mergeCell ref="D24:F24"/>
  </mergeCells>
  <phoneticPr fontId="4"/>
  <pageMargins left="0.39370078740157483" right="0.39370078740157483" top="0.19685039370078741" bottom="0.31496062992125984" header="0.51181102362204722" footer="0.31496062992125984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G43"/>
  <sheetViews>
    <sheetView showGridLines="0" zoomScaleNormal="100" zoomScaleSheetLayoutView="100" workbookViewId="0"/>
  </sheetViews>
  <sheetFormatPr defaultRowHeight="13.5"/>
  <cols>
    <col min="1" max="1" width="2.75" customWidth="1"/>
    <col min="2" max="2" width="4.75" customWidth="1"/>
    <col min="3" max="3" width="20.75" customWidth="1"/>
    <col min="4" max="4" width="5.625" style="22" customWidth="1"/>
    <col min="5" max="5" width="5.625" style="6" customWidth="1"/>
    <col min="6" max="6" width="40.5" customWidth="1"/>
    <col min="7" max="7" width="45.25" customWidth="1"/>
    <col min="8" max="8" width="3.25" customWidth="1"/>
  </cols>
  <sheetData>
    <row r="1" spans="1:7" ht="14.25">
      <c r="A1" s="1"/>
      <c r="B1" s="135" t="s">
        <v>0</v>
      </c>
      <c r="C1" s="135"/>
      <c r="D1" s="135"/>
      <c r="E1" s="135"/>
      <c r="F1" s="135"/>
      <c r="G1" s="135"/>
    </row>
    <row r="2" spans="1:7" ht="14.25">
      <c r="A2" s="1"/>
      <c r="B2" s="135"/>
      <c r="C2" s="135"/>
      <c r="D2" s="135"/>
      <c r="E2" s="135"/>
      <c r="F2" s="135"/>
      <c r="G2" s="135"/>
    </row>
    <row r="3" spans="1:7" ht="6" customHeight="1">
      <c r="A3" s="2"/>
      <c r="B3" s="3"/>
      <c r="D3" s="4"/>
      <c r="E3" s="5"/>
    </row>
    <row r="4" spans="1:7" ht="14.25" thickBot="1">
      <c r="B4" s="3" t="s">
        <v>1</v>
      </c>
      <c r="D4"/>
      <c r="F4" s="133" t="s">
        <v>326</v>
      </c>
    </row>
    <row r="5" spans="1:7" ht="14.25" thickBot="1">
      <c r="B5" s="7" t="s">
        <v>2</v>
      </c>
      <c r="C5" s="8" t="s">
        <v>3</v>
      </c>
      <c r="D5" s="8" t="s">
        <v>4</v>
      </c>
      <c r="E5" s="102" t="s">
        <v>311</v>
      </c>
      <c r="F5" s="8" t="s">
        <v>5</v>
      </c>
      <c r="G5" s="8" t="s">
        <v>6</v>
      </c>
    </row>
    <row r="6" spans="1:7" ht="15" thickTop="1" thickBot="1">
      <c r="B6" s="121">
        <v>1</v>
      </c>
      <c r="C6" s="126" t="s">
        <v>7</v>
      </c>
      <c r="D6" s="122" t="s">
        <v>8</v>
      </c>
      <c r="E6" s="123">
        <v>4</v>
      </c>
      <c r="F6" s="124" t="s">
        <v>9</v>
      </c>
      <c r="G6" s="125"/>
    </row>
    <row r="7" spans="1:7" ht="14.25" thickTop="1">
      <c r="B7" s="113">
        <v>2</v>
      </c>
      <c r="C7" s="114" t="s">
        <v>10</v>
      </c>
      <c r="D7" s="113" t="s">
        <v>322</v>
      </c>
      <c r="E7" s="120">
        <v>32</v>
      </c>
      <c r="F7" s="114" t="s">
        <v>12</v>
      </c>
      <c r="G7" s="114"/>
    </row>
    <row r="8" spans="1:7">
      <c r="B8" s="9">
        <v>3</v>
      </c>
      <c r="C8" s="10" t="s">
        <v>13</v>
      </c>
      <c r="D8" s="9" t="s">
        <v>322</v>
      </c>
      <c r="E8" s="11">
        <v>32</v>
      </c>
      <c r="F8" s="10"/>
      <c r="G8" s="10"/>
    </row>
    <row r="9" spans="1:7">
      <c r="B9" s="9">
        <v>4</v>
      </c>
      <c r="C9" s="10" t="s">
        <v>14</v>
      </c>
      <c r="D9" s="9" t="s">
        <v>322</v>
      </c>
      <c r="E9" s="11">
        <v>32</v>
      </c>
      <c r="F9" s="10" t="s">
        <v>15</v>
      </c>
      <c r="G9" s="10"/>
    </row>
    <row r="10" spans="1:7">
      <c r="B10" s="9">
        <v>5</v>
      </c>
      <c r="C10" s="10" t="s">
        <v>16</v>
      </c>
      <c r="D10" s="9" t="s">
        <v>322</v>
      </c>
      <c r="E10" s="11">
        <v>32</v>
      </c>
      <c r="F10" s="10"/>
      <c r="G10" s="10"/>
    </row>
    <row r="11" spans="1:7">
      <c r="B11" s="9">
        <v>6</v>
      </c>
      <c r="C11" s="10" t="s">
        <v>17</v>
      </c>
      <c r="D11" s="9" t="s">
        <v>322</v>
      </c>
      <c r="E11" s="11">
        <v>32</v>
      </c>
      <c r="F11" s="10" t="s">
        <v>18</v>
      </c>
      <c r="G11" s="10" t="s">
        <v>19</v>
      </c>
    </row>
    <row r="12" spans="1:7">
      <c r="B12" s="9">
        <v>7</v>
      </c>
      <c r="C12" s="10" t="s">
        <v>20</v>
      </c>
      <c r="D12" s="9" t="s">
        <v>322</v>
      </c>
      <c r="E12" s="11">
        <v>32</v>
      </c>
      <c r="F12" s="10" t="s">
        <v>21</v>
      </c>
      <c r="G12" s="10"/>
    </row>
    <row r="13" spans="1:7">
      <c r="B13" s="9">
        <v>8</v>
      </c>
      <c r="C13" s="10" t="s">
        <v>22</v>
      </c>
      <c r="D13" s="9" t="s">
        <v>322</v>
      </c>
      <c r="E13" s="11">
        <v>32</v>
      </c>
      <c r="F13" s="10" t="s">
        <v>23</v>
      </c>
      <c r="G13" s="10" t="s">
        <v>19</v>
      </c>
    </row>
    <row r="14" spans="1:7">
      <c r="B14" s="9">
        <v>9</v>
      </c>
      <c r="C14" s="10" t="s">
        <v>24</v>
      </c>
      <c r="D14" s="9" t="s">
        <v>322</v>
      </c>
      <c r="E14" s="11">
        <v>32</v>
      </c>
      <c r="F14" s="10" t="s">
        <v>25</v>
      </c>
      <c r="G14" s="10"/>
    </row>
    <row r="15" spans="1:7">
      <c r="B15" s="12">
        <v>10</v>
      </c>
      <c r="C15" s="13" t="s">
        <v>26</v>
      </c>
      <c r="D15" s="12" t="s">
        <v>8</v>
      </c>
      <c r="E15" s="14">
        <v>50</v>
      </c>
      <c r="F15" s="13"/>
      <c r="G15" s="13" t="s">
        <v>27</v>
      </c>
    </row>
    <row r="16" spans="1:7">
      <c r="B16" s="9">
        <v>11</v>
      </c>
      <c r="C16" s="10" t="s">
        <v>28</v>
      </c>
      <c r="D16" s="9" t="s">
        <v>322</v>
      </c>
      <c r="E16" s="11">
        <v>80</v>
      </c>
      <c r="F16" s="10" t="s">
        <v>29</v>
      </c>
      <c r="G16" s="10" t="s">
        <v>30</v>
      </c>
    </row>
    <row r="17" spans="2:7">
      <c r="B17" s="9">
        <v>12</v>
      </c>
      <c r="C17" s="15" t="s">
        <v>31</v>
      </c>
      <c r="D17" s="9" t="s">
        <v>8</v>
      </c>
      <c r="E17" s="11">
        <v>50</v>
      </c>
      <c r="F17" s="10" t="s">
        <v>32</v>
      </c>
      <c r="G17" s="10" t="s">
        <v>30</v>
      </c>
    </row>
    <row r="18" spans="2:7">
      <c r="B18" s="12">
        <v>13</v>
      </c>
      <c r="C18" s="16" t="s">
        <v>33</v>
      </c>
      <c r="D18" s="12" t="s">
        <v>8</v>
      </c>
      <c r="E18" s="14">
        <v>25</v>
      </c>
      <c r="F18" s="13"/>
      <c r="G18" s="13" t="s">
        <v>34</v>
      </c>
    </row>
    <row r="19" spans="2:7">
      <c r="B19" s="12">
        <v>14</v>
      </c>
      <c r="C19" s="16" t="s">
        <v>35</v>
      </c>
      <c r="D19" s="12" t="s">
        <v>8</v>
      </c>
      <c r="E19" s="14">
        <v>2</v>
      </c>
      <c r="F19" s="13" t="s">
        <v>36</v>
      </c>
      <c r="G19" s="140" t="s">
        <v>37</v>
      </c>
    </row>
    <row r="20" spans="2:7">
      <c r="B20" s="12">
        <v>15</v>
      </c>
      <c r="C20" s="16" t="s">
        <v>38</v>
      </c>
      <c r="D20" s="12" t="s">
        <v>8</v>
      </c>
      <c r="E20" s="14">
        <v>10</v>
      </c>
      <c r="F20" s="13" t="s">
        <v>39</v>
      </c>
      <c r="G20" s="141"/>
    </row>
    <row r="21" spans="2:7">
      <c r="B21" s="12">
        <v>16</v>
      </c>
      <c r="C21" s="16" t="s">
        <v>40</v>
      </c>
      <c r="D21" s="12" t="s">
        <v>8</v>
      </c>
      <c r="E21" s="14">
        <v>5</v>
      </c>
      <c r="F21" s="13" t="s">
        <v>41</v>
      </c>
      <c r="G21" s="141"/>
    </row>
    <row r="22" spans="2:7">
      <c r="B22" s="12">
        <v>17</v>
      </c>
      <c r="C22" s="16" t="s">
        <v>42</v>
      </c>
      <c r="D22" s="12" t="s">
        <v>8</v>
      </c>
      <c r="E22" s="14">
        <v>1</v>
      </c>
      <c r="F22" s="13" t="s">
        <v>43</v>
      </c>
      <c r="G22" s="141"/>
    </row>
    <row r="23" spans="2:7">
      <c r="B23" s="12">
        <v>19</v>
      </c>
      <c r="C23" s="16" t="s">
        <v>44</v>
      </c>
      <c r="D23" s="12" t="s">
        <v>8</v>
      </c>
      <c r="E23" s="14">
        <v>60</v>
      </c>
      <c r="F23" s="13" t="s">
        <v>45</v>
      </c>
      <c r="G23" s="141"/>
    </row>
    <row r="24" spans="2:7">
      <c r="B24" s="12">
        <v>20</v>
      </c>
      <c r="C24" s="16" t="s">
        <v>46</v>
      </c>
      <c r="D24" s="12" t="s">
        <v>8</v>
      </c>
      <c r="E24" s="14">
        <v>60</v>
      </c>
      <c r="F24" s="13"/>
      <c r="G24" s="141"/>
    </row>
    <row r="25" spans="2:7">
      <c r="B25" s="12">
        <v>21</v>
      </c>
      <c r="C25" s="16" t="s">
        <v>47</v>
      </c>
      <c r="D25" s="12" t="s">
        <v>8</v>
      </c>
      <c r="E25" s="14">
        <v>36</v>
      </c>
      <c r="F25" s="13" t="s">
        <v>45</v>
      </c>
      <c r="G25" s="141"/>
    </row>
    <row r="26" spans="2:7">
      <c r="B26" s="12">
        <v>22</v>
      </c>
      <c r="C26" s="13" t="s">
        <v>48</v>
      </c>
      <c r="D26" s="12" t="s">
        <v>8</v>
      </c>
      <c r="E26" s="14">
        <v>36</v>
      </c>
      <c r="F26" s="13"/>
      <c r="G26" s="141"/>
    </row>
    <row r="27" spans="2:7">
      <c r="B27" s="12">
        <v>23</v>
      </c>
      <c r="C27" s="13" t="s">
        <v>49</v>
      </c>
      <c r="D27" s="12" t="s">
        <v>8</v>
      </c>
      <c r="E27" s="14">
        <v>60</v>
      </c>
      <c r="F27" s="13" t="s">
        <v>50</v>
      </c>
      <c r="G27" s="141"/>
    </row>
    <row r="28" spans="2:7">
      <c r="B28" s="12">
        <v>24</v>
      </c>
      <c r="C28" s="13" t="s">
        <v>51</v>
      </c>
      <c r="D28" s="12" t="s">
        <v>8</v>
      </c>
      <c r="E28" s="14">
        <v>42</v>
      </c>
      <c r="F28" s="13" t="s">
        <v>52</v>
      </c>
      <c r="G28" s="141"/>
    </row>
    <row r="29" spans="2:7">
      <c r="B29" s="12">
        <v>25</v>
      </c>
      <c r="C29" s="13" t="s">
        <v>53</v>
      </c>
      <c r="D29" s="12" t="s">
        <v>8</v>
      </c>
      <c r="E29" s="14">
        <v>22</v>
      </c>
      <c r="F29" s="13" t="s">
        <v>45</v>
      </c>
      <c r="G29" s="142"/>
    </row>
    <row r="30" spans="2:7">
      <c r="B30" s="9">
        <v>26</v>
      </c>
      <c r="C30" s="17" t="s">
        <v>54</v>
      </c>
      <c r="D30" s="9" t="s">
        <v>322</v>
      </c>
      <c r="E30" s="11">
        <v>40</v>
      </c>
      <c r="F30" s="10" t="s">
        <v>55</v>
      </c>
      <c r="G30" s="10"/>
    </row>
    <row r="31" spans="2:7">
      <c r="B31" s="9">
        <v>27</v>
      </c>
      <c r="C31" s="15" t="s">
        <v>56</v>
      </c>
      <c r="D31" s="9" t="s">
        <v>322</v>
      </c>
      <c r="E31" s="11">
        <v>40</v>
      </c>
      <c r="F31" s="10" t="s">
        <v>57</v>
      </c>
      <c r="G31" s="10"/>
    </row>
    <row r="32" spans="2:7">
      <c r="B32" s="9">
        <v>28</v>
      </c>
      <c r="C32" s="15" t="s">
        <v>58</v>
      </c>
      <c r="D32" s="9" t="s">
        <v>8</v>
      </c>
      <c r="E32" s="11">
        <v>1</v>
      </c>
      <c r="F32" s="10" t="s">
        <v>59</v>
      </c>
      <c r="G32" s="10" t="s">
        <v>60</v>
      </c>
    </row>
    <row r="33" spans="2:7">
      <c r="B33" s="9">
        <v>29</v>
      </c>
      <c r="C33" s="15" t="s">
        <v>61</v>
      </c>
      <c r="D33" s="9" t="s">
        <v>8</v>
      </c>
      <c r="E33" s="11">
        <v>7</v>
      </c>
      <c r="F33" s="18" t="s">
        <v>62</v>
      </c>
      <c r="G33" s="18" t="s">
        <v>63</v>
      </c>
    </row>
    <row r="34" spans="2:7">
      <c r="B34" s="9">
        <v>30</v>
      </c>
      <c r="C34" s="15" t="s">
        <v>64</v>
      </c>
      <c r="D34" s="9" t="s">
        <v>8</v>
      </c>
      <c r="E34" s="11">
        <v>34</v>
      </c>
      <c r="F34" s="10" t="s">
        <v>65</v>
      </c>
      <c r="G34" s="10"/>
    </row>
    <row r="35" spans="2:7">
      <c r="B35" s="9">
        <v>31</v>
      </c>
      <c r="C35" s="15" t="s">
        <v>66</v>
      </c>
      <c r="D35" s="9" t="s">
        <v>322</v>
      </c>
      <c r="E35" s="11">
        <v>38</v>
      </c>
      <c r="F35" s="10" t="s">
        <v>45</v>
      </c>
      <c r="G35" s="10"/>
    </row>
    <row r="36" spans="2:7">
      <c r="B36" s="9">
        <v>32</v>
      </c>
      <c r="C36" s="15" t="s">
        <v>67</v>
      </c>
      <c r="D36" s="9" t="s">
        <v>322</v>
      </c>
      <c r="E36" s="11">
        <v>38</v>
      </c>
      <c r="F36" s="10"/>
      <c r="G36" s="10"/>
    </row>
    <row r="37" spans="2:7">
      <c r="B37" s="9">
        <v>33</v>
      </c>
      <c r="C37" s="15" t="s">
        <v>68</v>
      </c>
      <c r="D37" s="9" t="s">
        <v>322</v>
      </c>
      <c r="E37" s="11">
        <v>40</v>
      </c>
      <c r="F37" s="10" t="s">
        <v>69</v>
      </c>
      <c r="G37" s="10"/>
    </row>
    <row r="38" spans="2:7">
      <c r="B38" s="9">
        <v>34</v>
      </c>
      <c r="C38" s="15" t="s">
        <v>70</v>
      </c>
      <c r="D38" s="9" t="s">
        <v>322</v>
      </c>
      <c r="E38" s="11">
        <v>40</v>
      </c>
      <c r="F38" s="10" t="s">
        <v>71</v>
      </c>
      <c r="G38" s="10"/>
    </row>
    <row r="39" spans="2:7">
      <c r="B39" s="9">
        <v>35</v>
      </c>
      <c r="C39" s="15" t="s">
        <v>72</v>
      </c>
      <c r="D39" s="9" t="s">
        <v>322</v>
      </c>
      <c r="E39" s="11">
        <v>40</v>
      </c>
      <c r="F39" s="10"/>
      <c r="G39" s="10"/>
    </row>
    <row r="40" spans="2:7">
      <c r="B40" s="9">
        <v>36</v>
      </c>
      <c r="C40" s="10" t="s">
        <v>73</v>
      </c>
      <c r="D40" s="9" t="s">
        <v>8</v>
      </c>
      <c r="E40" s="11">
        <v>20</v>
      </c>
      <c r="F40" s="10" t="s">
        <v>74</v>
      </c>
      <c r="G40" s="10"/>
    </row>
    <row r="41" spans="2:7">
      <c r="B41" s="9">
        <v>37</v>
      </c>
      <c r="C41" s="10" t="s">
        <v>75</v>
      </c>
      <c r="D41" s="9" t="s">
        <v>8</v>
      </c>
      <c r="E41" s="11">
        <v>1</v>
      </c>
      <c r="F41" s="10" t="s">
        <v>76</v>
      </c>
      <c r="G41" s="10" t="s">
        <v>77</v>
      </c>
    </row>
    <row r="42" spans="2:7">
      <c r="B42" s="19">
        <v>38</v>
      </c>
      <c r="C42" s="20" t="s">
        <v>78</v>
      </c>
      <c r="D42" s="19" t="s">
        <v>8</v>
      </c>
      <c r="E42" s="21">
        <v>1</v>
      </c>
      <c r="F42" s="20"/>
      <c r="G42" s="20" t="s">
        <v>79</v>
      </c>
    </row>
    <row r="43" spans="2:7">
      <c r="E43"/>
    </row>
  </sheetData>
  <mergeCells count="2">
    <mergeCell ref="B1:G2"/>
    <mergeCell ref="G19:G29"/>
  </mergeCells>
  <phoneticPr fontId="4"/>
  <pageMargins left="0.19685039370078741" right="0.19685039370078741" top="0.19685039370078741" bottom="0.31496062992125984" header="0.51181102362204722" footer="0.31496062992125984"/>
  <pageSetup paperSize="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9</vt:i4>
      </vt:variant>
    </vt:vector>
  </HeadingPairs>
  <TitlesOfParts>
    <vt:vector size="18" baseType="lpstr">
      <vt:lpstr>0001_顧客マスタ</vt:lpstr>
      <vt:lpstr>0002_請求内訳（横持ち）</vt:lpstr>
      <vt:lpstr>0003_請求内訳（縦持ち）</vt:lpstr>
      <vt:lpstr>0004_通話明細（発信系）</vt:lpstr>
      <vt:lpstr>0006_通話明細（着信系）</vt:lpstr>
      <vt:lpstr>0005_納品明細</vt:lpstr>
      <vt:lpstr>備考コメント等</vt:lpstr>
      <vt:lpstr>バーチャル口座情報</vt:lpstr>
      <vt:lpstr>OEMマスタ</vt:lpstr>
      <vt:lpstr>'0001_顧客マスタ'!Print_Titles</vt:lpstr>
      <vt:lpstr>'0002_請求内訳（横持ち）'!Print_Titles</vt:lpstr>
      <vt:lpstr>'0003_請求内訳（縦持ち）'!Print_Titles</vt:lpstr>
      <vt:lpstr>'0004_通話明細（発信系）'!Print_Titles</vt:lpstr>
      <vt:lpstr>'0005_納品明細'!Print_Titles</vt:lpstr>
      <vt:lpstr>'0006_通話明細（着信系）'!Print_Titles</vt:lpstr>
      <vt:lpstr>OEMマスタ!Print_Titles</vt:lpstr>
      <vt:lpstr>バーチャル口座情報!Print_Titles</vt:lpstr>
      <vt:lpstr>備考コメント等!Print_Titles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bs4</dc:creator>
  <cp:lastModifiedBy>亀元　　智仁</cp:lastModifiedBy>
  <cp:lastPrinted>2018-04-18T03:55:05Z</cp:lastPrinted>
  <dcterms:created xsi:type="dcterms:W3CDTF">2018-04-17T07:08:52Z</dcterms:created>
  <dcterms:modified xsi:type="dcterms:W3CDTF">2018-07-12T10:10:59Z</dcterms:modified>
</cp:coreProperties>
</file>